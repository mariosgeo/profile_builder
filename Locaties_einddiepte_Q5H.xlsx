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/Volumes/OWC Envoy Pro FX/RWS/RWS/WB2026/Q5/Analyse/excel/"/>
    </mc:Choice>
  </mc:AlternateContent>
  <xr:revisionPtr revIDLastSave="0" documentId="13_ncr:1_{5EE481AF-3F13-3C47-BED0-2D7E77AC5DBE}" xr6:coauthVersionLast="47" xr6:coauthVersionMax="47" xr10:uidLastSave="{00000000-0000-0000-0000-000000000000}"/>
  <bookViews>
    <workbookView xWindow="-20" yWindow="620" windowWidth="38420" windowHeight="29460" xr2:uid="{00000000-000D-0000-FFFF-FFFF00000000}"/>
  </bookViews>
  <sheets>
    <sheet name="Locaties_einddiepte_LAT_3" sheetId="1" r:id="rId1"/>
    <sheet name="cumm waarden" sheetId="2" r:id="rId2"/>
    <sheet name="draaioutput" sheetId="5" r:id="rId3"/>
    <sheet name="draai" sheetId="4" r:id="rId4"/>
    <sheet name="grafiek" sheetId="3" r:id="rId5"/>
  </sheets>
  <definedNames>
    <definedName name="_xlnm._FilterDatabase" localSheetId="1" hidden="1">'cumm waarden'!$A$1:$AO$236</definedName>
    <definedName name="_xlnm._FilterDatabase" localSheetId="0" hidden="1">Locaties_einddiepte_LAT_3!$A$1:$AP$42</definedName>
    <definedName name="_xlchart.v1.0" hidden="1">'cumm waarden'!$V$30:$V$38</definedName>
    <definedName name="_xlchart.v1.1" hidden="1">'cumm waarden'!$X$39:$X$145</definedName>
  </definedNames>
  <calcPr calcId="191029"/>
  <pivotCaches>
    <pivotCache cacheId="99" r:id="rId6"/>
    <pivotCache cacheId="10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6" i="4" l="1"/>
  <c r="S116" i="4" s="1"/>
  <c r="P116" i="4"/>
  <c r="R116" i="4" s="1"/>
  <c r="T116" i="4" s="1"/>
  <c r="U116" i="4" s="1"/>
  <c r="M116" i="4"/>
  <c r="L116" i="4"/>
  <c r="N116" i="4" s="1"/>
  <c r="O116" i="4" s="1"/>
  <c r="S115" i="4"/>
  <c r="R115" i="4"/>
  <c r="T115" i="4" s="1"/>
  <c r="U115" i="4" s="1"/>
  <c r="Q115" i="4"/>
  <c r="P115" i="4"/>
  <c r="M115" i="4"/>
  <c r="L115" i="4"/>
  <c r="N115" i="4" s="1"/>
  <c r="O115" i="4" s="1"/>
  <c r="S114" i="4"/>
  <c r="Q114" i="4"/>
  <c r="P114" i="4"/>
  <c r="R114" i="4" s="1"/>
  <c r="T114" i="4" s="1"/>
  <c r="U114" i="4" s="1"/>
  <c r="N114" i="4"/>
  <c r="O114" i="4" s="1"/>
  <c r="M114" i="4"/>
  <c r="L114" i="4"/>
  <c r="Q113" i="4"/>
  <c r="S113" i="4" s="1"/>
  <c r="P113" i="4"/>
  <c r="R113" i="4" s="1"/>
  <c r="T113" i="4" s="1"/>
  <c r="U113" i="4" s="1"/>
  <c r="M113" i="4"/>
  <c r="L113" i="4"/>
  <c r="N113" i="4" s="1"/>
  <c r="O113" i="4" s="1"/>
  <c r="Q112" i="4"/>
  <c r="S112" i="4" s="1"/>
  <c r="P112" i="4"/>
  <c r="R112" i="4" s="1"/>
  <c r="T112" i="4" s="1"/>
  <c r="U112" i="4" s="1"/>
  <c r="M112" i="4"/>
  <c r="L112" i="4"/>
  <c r="N112" i="4" s="1"/>
  <c r="O112" i="4" s="1"/>
  <c r="Q111" i="4"/>
  <c r="S111" i="4" s="1"/>
  <c r="P111" i="4"/>
  <c r="R111" i="4" s="1"/>
  <c r="T111" i="4" s="1"/>
  <c r="U111" i="4" s="1"/>
  <c r="M111" i="4"/>
  <c r="L111" i="4"/>
  <c r="N111" i="4" s="1"/>
  <c r="O111" i="4" s="1"/>
  <c r="Q110" i="4"/>
  <c r="S110" i="4" s="1"/>
  <c r="P110" i="4"/>
  <c r="R110" i="4" s="1"/>
  <c r="M110" i="4"/>
  <c r="L110" i="4"/>
  <c r="N110" i="4" s="1"/>
  <c r="O110" i="4" s="1"/>
  <c r="Q109" i="4"/>
  <c r="S109" i="4" s="1"/>
  <c r="P109" i="4"/>
  <c r="R109" i="4" s="1"/>
  <c r="T109" i="4" s="1"/>
  <c r="U109" i="4" s="1"/>
  <c r="M109" i="4"/>
  <c r="L109" i="4"/>
  <c r="N109" i="4" s="1"/>
  <c r="O109" i="4" s="1"/>
  <c r="S108" i="4"/>
  <c r="R108" i="4"/>
  <c r="T108" i="4" s="1"/>
  <c r="U108" i="4" s="1"/>
  <c r="Q108" i="4"/>
  <c r="P108" i="4"/>
  <c r="M108" i="4"/>
  <c r="L108" i="4"/>
  <c r="N108" i="4" s="1"/>
  <c r="O108" i="4" s="1"/>
  <c r="Q107" i="4"/>
  <c r="S107" i="4" s="1"/>
  <c r="P107" i="4"/>
  <c r="R107" i="4" s="1"/>
  <c r="T107" i="4" s="1"/>
  <c r="U107" i="4" s="1"/>
  <c r="N107" i="4"/>
  <c r="O107" i="4" s="1"/>
  <c r="M107" i="4"/>
  <c r="L107" i="4"/>
  <c r="Q106" i="4"/>
  <c r="S106" i="4" s="1"/>
  <c r="P106" i="4"/>
  <c r="R106" i="4" s="1"/>
  <c r="T106" i="4" s="1"/>
  <c r="U106" i="4" s="1"/>
  <c r="M106" i="4"/>
  <c r="L106" i="4"/>
  <c r="N106" i="4" s="1"/>
  <c r="O106" i="4" s="1"/>
  <c r="Q105" i="4"/>
  <c r="S105" i="4" s="1"/>
  <c r="P105" i="4"/>
  <c r="R105" i="4" s="1"/>
  <c r="T105" i="4" s="1"/>
  <c r="U105" i="4" s="1"/>
  <c r="M105" i="4"/>
  <c r="L105" i="4"/>
  <c r="N105" i="4" s="1"/>
  <c r="O105" i="4" s="1"/>
  <c r="R104" i="4"/>
  <c r="T104" i="4" s="1"/>
  <c r="U104" i="4" s="1"/>
  <c r="Q104" i="4"/>
  <c r="S104" i="4" s="1"/>
  <c r="P104" i="4"/>
  <c r="M104" i="4"/>
  <c r="L104" i="4"/>
  <c r="N104" i="4" s="1"/>
  <c r="O104" i="4" s="1"/>
  <c r="R103" i="4"/>
  <c r="Q103" i="4"/>
  <c r="S103" i="4" s="1"/>
  <c r="M103" i="4"/>
  <c r="L103" i="4"/>
  <c r="N103" i="4" s="1"/>
  <c r="O103" i="4" s="1"/>
  <c r="R102" i="4"/>
  <c r="Q102" i="4"/>
  <c r="S102" i="4" s="1"/>
  <c r="M102" i="4"/>
  <c r="L102" i="4"/>
  <c r="N102" i="4" s="1"/>
  <c r="O102" i="4" s="1"/>
  <c r="R101" i="4"/>
  <c r="Q101" i="4"/>
  <c r="S101" i="4" s="1"/>
  <c r="M101" i="4"/>
  <c r="L101" i="4"/>
  <c r="N101" i="4" s="1"/>
  <c r="O101" i="4" s="1"/>
  <c r="Q100" i="4"/>
  <c r="S100" i="4" s="1"/>
  <c r="P100" i="4"/>
  <c r="R100" i="4" s="1"/>
  <c r="T100" i="4" s="1"/>
  <c r="U100" i="4" s="1"/>
  <c r="M100" i="4"/>
  <c r="L100" i="4"/>
  <c r="N100" i="4" s="1"/>
  <c r="O100" i="4" s="1"/>
  <c r="R99" i="4"/>
  <c r="Q99" i="4"/>
  <c r="S99" i="4" s="1"/>
  <c r="M99" i="4"/>
  <c r="L99" i="4"/>
  <c r="N99" i="4" s="1"/>
  <c r="O99" i="4" s="1"/>
  <c r="Q98" i="4"/>
  <c r="S98" i="4" s="1"/>
  <c r="P98" i="4"/>
  <c r="R98" i="4" s="1"/>
  <c r="T98" i="4" s="1"/>
  <c r="U98" i="4" s="1"/>
  <c r="M98" i="4"/>
  <c r="L98" i="4"/>
  <c r="N98" i="4" s="1"/>
  <c r="O98" i="4" s="1"/>
  <c r="S97" i="4"/>
  <c r="R97" i="4"/>
  <c r="T97" i="4" s="1"/>
  <c r="U97" i="4" s="1"/>
  <c r="M97" i="4"/>
  <c r="L97" i="4"/>
  <c r="N97" i="4" s="1"/>
  <c r="O97" i="4" s="1"/>
  <c r="Q96" i="4"/>
  <c r="S96" i="4" s="1"/>
  <c r="P96" i="4"/>
  <c r="R96" i="4" s="1"/>
  <c r="T96" i="4" s="1"/>
  <c r="U96" i="4" s="1"/>
  <c r="M96" i="4"/>
  <c r="L96" i="4"/>
  <c r="N96" i="4" s="1"/>
  <c r="O96" i="4" s="1"/>
  <c r="S95" i="4"/>
  <c r="T95" i="4" s="1"/>
  <c r="U95" i="4" s="1"/>
  <c r="R95" i="4"/>
  <c r="N95" i="4"/>
  <c r="O95" i="4" s="1"/>
  <c r="M95" i="4"/>
  <c r="L95" i="4"/>
  <c r="Q94" i="4"/>
  <c r="S94" i="4" s="1"/>
  <c r="P94" i="4"/>
  <c r="R94" i="4" s="1"/>
  <c r="T94" i="4" s="1"/>
  <c r="U94" i="4" s="1"/>
  <c r="M94" i="4"/>
  <c r="L94" i="4"/>
  <c r="N94" i="4" s="1"/>
  <c r="O94" i="4" s="1"/>
  <c r="T93" i="4"/>
  <c r="U93" i="4" s="1"/>
  <c r="R93" i="4"/>
  <c r="Q93" i="4"/>
  <c r="S93" i="4" s="1"/>
  <c r="M93" i="4"/>
  <c r="L93" i="4"/>
  <c r="N93" i="4" s="1"/>
  <c r="O93" i="4" s="1"/>
  <c r="Q92" i="4"/>
  <c r="S92" i="4" s="1"/>
  <c r="P92" i="4"/>
  <c r="R92" i="4" s="1"/>
  <c r="T92" i="4" s="1"/>
  <c r="U92" i="4" s="1"/>
  <c r="M92" i="4"/>
  <c r="L92" i="4"/>
  <c r="N92" i="4" s="1"/>
  <c r="O92" i="4" s="1"/>
  <c r="R91" i="4"/>
  <c r="Q91" i="4"/>
  <c r="S91" i="4" s="1"/>
  <c r="M91" i="4"/>
  <c r="L91" i="4"/>
  <c r="N91" i="4" s="1"/>
  <c r="O91" i="4" s="1"/>
  <c r="R90" i="4"/>
  <c r="Q90" i="4"/>
  <c r="S90" i="4" s="1"/>
  <c r="T90" i="4" s="1"/>
  <c r="U90" i="4" s="1"/>
  <c r="M90" i="4"/>
  <c r="L90" i="4"/>
  <c r="N90" i="4" s="1"/>
  <c r="O90" i="4" s="1"/>
  <c r="S89" i="4"/>
  <c r="R89" i="4"/>
  <c r="T89" i="4" s="1"/>
  <c r="U89" i="4" s="1"/>
  <c r="N89" i="4"/>
  <c r="O89" i="4" s="1"/>
  <c r="M89" i="4"/>
  <c r="L89" i="4"/>
  <c r="Q88" i="4"/>
  <c r="S88" i="4" s="1"/>
  <c r="P88" i="4"/>
  <c r="R88" i="4" s="1"/>
  <c r="T88" i="4" s="1"/>
  <c r="U88" i="4" s="1"/>
  <c r="M88" i="4"/>
  <c r="L88" i="4"/>
  <c r="N88" i="4" s="1"/>
  <c r="O88" i="4" s="1"/>
  <c r="S87" i="4"/>
  <c r="T87" i="4" s="1"/>
  <c r="U87" i="4" s="1"/>
  <c r="R87" i="4"/>
  <c r="Q87" i="4"/>
  <c r="M87" i="4"/>
  <c r="L87" i="4"/>
  <c r="N87" i="4" s="1"/>
  <c r="O87" i="4" s="1"/>
  <c r="R86" i="4"/>
  <c r="Q86" i="4"/>
  <c r="S86" i="4" s="1"/>
  <c r="M86" i="4"/>
  <c r="N86" i="4" s="1"/>
  <c r="O86" i="4" s="1"/>
  <c r="L86" i="4"/>
  <c r="S85" i="4"/>
  <c r="R85" i="4"/>
  <c r="T85" i="4" s="1"/>
  <c r="U85" i="4" s="1"/>
  <c r="M85" i="4"/>
  <c r="L85" i="4"/>
  <c r="N85" i="4" s="1"/>
  <c r="O85" i="4" s="1"/>
  <c r="S84" i="4"/>
  <c r="T84" i="4" s="1"/>
  <c r="U84" i="4" s="1"/>
  <c r="R84" i="4"/>
  <c r="Q84" i="4"/>
  <c r="M84" i="4"/>
  <c r="L84" i="4"/>
  <c r="N84" i="4" s="1"/>
  <c r="O84" i="4" s="1"/>
  <c r="R83" i="4"/>
  <c r="Q83" i="4"/>
  <c r="S83" i="4" s="1"/>
  <c r="M83" i="4"/>
  <c r="L83" i="4"/>
  <c r="N83" i="4" s="1"/>
  <c r="O83" i="4" s="1"/>
  <c r="Q82" i="4"/>
  <c r="S82" i="4" s="1"/>
  <c r="P82" i="4"/>
  <c r="R82" i="4" s="1"/>
  <c r="T82" i="4" s="1"/>
  <c r="U82" i="4" s="1"/>
  <c r="M82" i="4"/>
  <c r="L82" i="4"/>
  <c r="N82" i="4" s="1"/>
  <c r="O82" i="4" s="1"/>
  <c r="R81" i="4"/>
  <c r="T81" i="4" s="1"/>
  <c r="U81" i="4" s="1"/>
  <c r="Q81" i="4"/>
  <c r="S81" i="4" s="1"/>
  <c r="M81" i="4"/>
  <c r="L81" i="4"/>
  <c r="N81" i="4" s="1"/>
  <c r="O81" i="4" s="1"/>
  <c r="S80" i="4"/>
  <c r="P80" i="4"/>
  <c r="R80" i="4" s="1"/>
  <c r="T80" i="4" s="1"/>
  <c r="U80" i="4" s="1"/>
  <c r="M80" i="4"/>
  <c r="L80" i="4"/>
  <c r="N80" i="4" s="1"/>
  <c r="O80" i="4" s="1"/>
  <c r="R79" i="4"/>
  <c r="Q79" i="4"/>
  <c r="S79" i="4" s="1"/>
  <c r="M79" i="4"/>
  <c r="L79" i="4"/>
  <c r="N79" i="4" s="1"/>
  <c r="O79" i="4" s="1"/>
  <c r="R78" i="4"/>
  <c r="Q78" i="4"/>
  <c r="S78" i="4" s="1"/>
  <c r="M78" i="4"/>
  <c r="L78" i="4"/>
  <c r="N78" i="4" s="1"/>
  <c r="O78" i="4" s="1"/>
  <c r="R77" i="4"/>
  <c r="T77" i="4" s="1"/>
  <c r="U77" i="4" s="1"/>
  <c r="Q77" i="4"/>
  <c r="S77" i="4" s="1"/>
  <c r="M77" i="4"/>
  <c r="L77" i="4"/>
  <c r="N77" i="4" s="1"/>
  <c r="O77" i="4" s="1"/>
  <c r="Q76" i="4"/>
  <c r="S76" i="4" s="1"/>
  <c r="P76" i="4"/>
  <c r="R76" i="4" s="1"/>
  <c r="T76" i="4" s="1"/>
  <c r="U76" i="4" s="1"/>
  <c r="M76" i="4"/>
  <c r="L76" i="4"/>
  <c r="N76" i="4" s="1"/>
  <c r="O76" i="4" s="1"/>
  <c r="S75" i="4"/>
  <c r="T75" i="4" s="1"/>
  <c r="U75" i="4" s="1"/>
  <c r="R75" i="4"/>
  <c r="Q75" i="4"/>
  <c r="M75" i="4"/>
  <c r="L75" i="4"/>
  <c r="N75" i="4" s="1"/>
  <c r="O75" i="4" s="1"/>
  <c r="R74" i="4"/>
  <c r="Q74" i="4"/>
  <c r="S74" i="4" s="1"/>
  <c r="M74" i="4"/>
  <c r="L74" i="4"/>
  <c r="N74" i="4" s="1"/>
  <c r="O74" i="4" s="1"/>
  <c r="T73" i="4"/>
  <c r="U73" i="4" s="1"/>
  <c r="R73" i="4"/>
  <c r="Q73" i="4"/>
  <c r="S73" i="4" s="1"/>
  <c r="M73" i="4"/>
  <c r="L73" i="4"/>
  <c r="N73" i="4" s="1"/>
  <c r="O73" i="4" s="1"/>
  <c r="R72" i="4"/>
  <c r="Q72" i="4"/>
  <c r="S72" i="4" s="1"/>
  <c r="N72" i="4"/>
  <c r="O72" i="4" s="1"/>
  <c r="M72" i="4"/>
  <c r="L72" i="4"/>
  <c r="R71" i="4"/>
  <c r="Q71" i="4"/>
  <c r="S71" i="4" s="1"/>
  <c r="N71" i="4"/>
  <c r="O71" i="4" s="1"/>
  <c r="M71" i="4"/>
  <c r="L71" i="4"/>
  <c r="S70" i="4"/>
  <c r="Q70" i="4"/>
  <c r="P70" i="4"/>
  <c r="R70" i="4" s="1"/>
  <c r="T70" i="4" s="1"/>
  <c r="U70" i="4" s="1"/>
  <c r="M70" i="4"/>
  <c r="L70" i="4"/>
  <c r="N70" i="4" s="1"/>
  <c r="O70" i="4" s="1"/>
  <c r="R69" i="4"/>
  <c r="Q69" i="4"/>
  <c r="S69" i="4" s="1"/>
  <c r="O69" i="4"/>
  <c r="N69" i="4"/>
  <c r="M69" i="4"/>
  <c r="L69" i="4"/>
  <c r="R68" i="4"/>
  <c r="Q68" i="4"/>
  <c r="S68" i="4" s="1"/>
  <c r="M68" i="4"/>
  <c r="L68" i="4"/>
  <c r="N68" i="4" s="1"/>
  <c r="O68" i="4" s="1"/>
  <c r="S67" i="4"/>
  <c r="Q67" i="4"/>
  <c r="P67" i="4"/>
  <c r="R67" i="4" s="1"/>
  <c r="T67" i="4" s="1"/>
  <c r="U67" i="4" s="1"/>
  <c r="M67" i="4"/>
  <c r="L67" i="4"/>
  <c r="N67" i="4" s="1"/>
  <c r="O67" i="4" s="1"/>
  <c r="R66" i="4"/>
  <c r="Q66" i="4"/>
  <c r="S66" i="4" s="1"/>
  <c r="N66" i="4"/>
  <c r="O66" i="4" s="1"/>
  <c r="M66" i="4"/>
  <c r="L66" i="4"/>
  <c r="Q65" i="4"/>
  <c r="S65" i="4" s="1"/>
  <c r="P65" i="4"/>
  <c r="R65" i="4" s="1"/>
  <c r="T65" i="4" s="1"/>
  <c r="U65" i="4" s="1"/>
  <c r="M65" i="4"/>
  <c r="N65" i="4" s="1"/>
  <c r="O65" i="4" s="1"/>
  <c r="L65" i="4"/>
  <c r="Q64" i="4"/>
  <c r="S64" i="4" s="1"/>
  <c r="P64" i="4"/>
  <c r="R64" i="4" s="1"/>
  <c r="T64" i="4" s="1"/>
  <c r="U64" i="4" s="1"/>
  <c r="M64" i="4"/>
  <c r="L64" i="4"/>
  <c r="N64" i="4" s="1"/>
  <c r="O64" i="4" s="1"/>
  <c r="R63" i="4"/>
  <c r="Q63" i="4"/>
  <c r="S63" i="4" s="1"/>
  <c r="O63" i="4"/>
  <c r="M63" i="4"/>
  <c r="L63" i="4"/>
  <c r="N63" i="4" s="1"/>
  <c r="S62" i="4"/>
  <c r="P62" i="4"/>
  <c r="R62" i="4" s="1"/>
  <c r="T62" i="4" s="1"/>
  <c r="U62" i="4" s="1"/>
  <c r="M62" i="4"/>
  <c r="L62" i="4"/>
  <c r="N62" i="4" s="1"/>
  <c r="O62" i="4" s="1"/>
  <c r="T61" i="4"/>
  <c r="U61" i="4" s="1"/>
  <c r="S61" i="4"/>
  <c r="R61" i="4"/>
  <c r="M61" i="4"/>
  <c r="L61" i="4"/>
  <c r="N61" i="4" s="1"/>
  <c r="O61" i="4" s="1"/>
  <c r="S60" i="4"/>
  <c r="R60" i="4"/>
  <c r="Q60" i="4"/>
  <c r="M60" i="4"/>
  <c r="N60" i="4" s="1"/>
  <c r="O60" i="4" s="1"/>
  <c r="L60" i="4"/>
  <c r="R59" i="4"/>
  <c r="Q59" i="4"/>
  <c r="S59" i="4" s="1"/>
  <c r="M59" i="4"/>
  <c r="L59" i="4"/>
  <c r="N59" i="4" s="1"/>
  <c r="O59" i="4" s="1"/>
  <c r="S58" i="4"/>
  <c r="R58" i="4"/>
  <c r="T58" i="4" s="1"/>
  <c r="U58" i="4" s="1"/>
  <c r="Q58" i="4"/>
  <c r="P58" i="4"/>
  <c r="M58" i="4"/>
  <c r="L58" i="4"/>
  <c r="N58" i="4" s="1"/>
  <c r="O58" i="4" s="1"/>
  <c r="R57" i="4"/>
  <c r="Q57" i="4"/>
  <c r="S57" i="4" s="1"/>
  <c r="M57" i="4"/>
  <c r="N57" i="4" s="1"/>
  <c r="O57" i="4" s="1"/>
  <c r="L57" i="4"/>
  <c r="R56" i="4"/>
  <c r="Q56" i="4"/>
  <c r="S56" i="4" s="1"/>
  <c r="M56" i="4"/>
  <c r="L56" i="4"/>
  <c r="S55" i="4"/>
  <c r="R55" i="4"/>
  <c r="T55" i="4" s="1"/>
  <c r="U55" i="4" s="1"/>
  <c r="Q55" i="4"/>
  <c r="M55" i="4"/>
  <c r="L55" i="4"/>
  <c r="N55" i="4" s="1"/>
  <c r="O55" i="4" s="1"/>
  <c r="R54" i="4"/>
  <c r="Q54" i="4"/>
  <c r="S54" i="4" s="1"/>
  <c r="M54" i="4"/>
  <c r="L54" i="4"/>
  <c r="N54" i="4" s="1"/>
  <c r="O54" i="4" s="1"/>
  <c r="R53" i="4"/>
  <c r="Q53" i="4"/>
  <c r="S53" i="4" s="1"/>
  <c r="M53" i="4"/>
  <c r="L53" i="4"/>
  <c r="N53" i="4" s="1"/>
  <c r="O53" i="4" s="1"/>
  <c r="R52" i="4"/>
  <c r="Q52" i="4"/>
  <c r="S52" i="4" s="1"/>
  <c r="P52" i="4"/>
  <c r="M52" i="4"/>
  <c r="L52" i="4"/>
  <c r="N52" i="4" s="1"/>
  <c r="O52" i="4" s="1"/>
  <c r="R51" i="4"/>
  <c r="Q51" i="4"/>
  <c r="S51" i="4" s="1"/>
  <c r="M51" i="4"/>
  <c r="L51" i="4"/>
  <c r="N51" i="4" s="1"/>
  <c r="O51" i="4" s="1"/>
  <c r="Q50" i="4"/>
  <c r="S50" i="4" s="1"/>
  <c r="P50" i="4"/>
  <c r="R50" i="4" s="1"/>
  <c r="T50" i="4" s="1"/>
  <c r="U50" i="4" s="1"/>
  <c r="M50" i="4"/>
  <c r="L50" i="4"/>
  <c r="N50" i="4" s="1"/>
  <c r="O50" i="4" s="1"/>
  <c r="S49" i="4"/>
  <c r="R49" i="4"/>
  <c r="T49" i="4" s="1"/>
  <c r="U49" i="4" s="1"/>
  <c r="Q49" i="4"/>
  <c r="P49" i="4"/>
  <c r="M49" i="4"/>
  <c r="L49" i="4"/>
  <c r="N49" i="4" s="1"/>
  <c r="O49" i="4" s="1"/>
  <c r="R48" i="4"/>
  <c r="Q48" i="4"/>
  <c r="S48" i="4" s="1"/>
  <c r="M48" i="4"/>
  <c r="N48" i="4" s="1"/>
  <c r="O48" i="4" s="1"/>
  <c r="L48" i="4"/>
  <c r="R47" i="4"/>
  <c r="Q47" i="4"/>
  <c r="S47" i="4" s="1"/>
  <c r="M47" i="4"/>
  <c r="L47" i="4"/>
  <c r="N47" i="4" s="1"/>
  <c r="O47" i="4" s="1"/>
  <c r="S46" i="4"/>
  <c r="R46" i="4"/>
  <c r="T46" i="4" s="1"/>
  <c r="U46" i="4" s="1"/>
  <c r="M46" i="4"/>
  <c r="L46" i="4"/>
  <c r="N46" i="4" s="1"/>
  <c r="O46" i="4" s="1"/>
  <c r="Q45" i="4"/>
  <c r="S45" i="4" s="1"/>
  <c r="P45" i="4"/>
  <c r="R45" i="4" s="1"/>
  <c r="T45" i="4" s="1"/>
  <c r="U45" i="4" s="1"/>
  <c r="M45" i="4"/>
  <c r="L45" i="4"/>
  <c r="N45" i="4" s="1"/>
  <c r="O45" i="4" s="1"/>
  <c r="R44" i="4"/>
  <c r="Q44" i="4"/>
  <c r="S44" i="4" s="1"/>
  <c r="M44" i="4"/>
  <c r="L44" i="4"/>
  <c r="N44" i="4" s="1"/>
  <c r="O44" i="4" s="1"/>
  <c r="R43" i="4"/>
  <c r="Q43" i="4"/>
  <c r="S43" i="4" s="1"/>
  <c r="M43" i="4"/>
  <c r="L43" i="4"/>
  <c r="N43" i="4" s="1"/>
  <c r="O43" i="4" s="1"/>
  <c r="R42" i="4"/>
  <c r="Q42" i="4"/>
  <c r="S42" i="4" s="1"/>
  <c r="M42" i="4"/>
  <c r="L42" i="4"/>
  <c r="N42" i="4" s="1"/>
  <c r="O42" i="4" s="1"/>
  <c r="R41" i="4"/>
  <c r="Q41" i="4"/>
  <c r="S41" i="4" s="1"/>
  <c r="T41" i="4" s="1"/>
  <c r="U41" i="4" s="1"/>
  <c r="M41" i="4"/>
  <c r="L41" i="4"/>
  <c r="N41" i="4" s="1"/>
  <c r="O41" i="4" s="1"/>
  <c r="S40" i="4"/>
  <c r="P40" i="4"/>
  <c r="R40" i="4" s="1"/>
  <c r="T40" i="4" s="1"/>
  <c r="U40" i="4" s="1"/>
  <c r="M40" i="4"/>
  <c r="N40" i="4" s="1"/>
  <c r="O40" i="4" s="1"/>
  <c r="L40" i="4"/>
  <c r="S39" i="4"/>
  <c r="P39" i="4"/>
  <c r="R39" i="4" s="1"/>
  <c r="T39" i="4" s="1"/>
  <c r="U39" i="4" s="1"/>
  <c r="M39" i="4"/>
  <c r="L39" i="4"/>
  <c r="N39" i="4" s="1"/>
  <c r="O39" i="4" s="1"/>
  <c r="T38" i="4"/>
  <c r="U38" i="4" s="1"/>
  <c r="S38" i="4"/>
  <c r="R38" i="4"/>
  <c r="P38" i="4"/>
  <c r="M38" i="4"/>
  <c r="L38" i="4"/>
  <c r="N38" i="4" s="1"/>
  <c r="O38" i="4" s="1"/>
  <c r="S37" i="4"/>
  <c r="T37" i="4" s="1"/>
  <c r="U37" i="4" s="1"/>
  <c r="R37" i="4"/>
  <c r="Q37" i="4"/>
  <c r="N37" i="4"/>
  <c r="O37" i="4" s="1"/>
  <c r="M37" i="4"/>
  <c r="L37" i="4"/>
  <c r="Q36" i="4"/>
  <c r="S36" i="4" s="1"/>
  <c r="P36" i="4"/>
  <c r="R36" i="4" s="1"/>
  <c r="T36" i="4" s="1"/>
  <c r="U36" i="4" s="1"/>
  <c r="M36" i="4"/>
  <c r="L36" i="4"/>
  <c r="N36" i="4" s="1"/>
  <c r="O36" i="4" s="1"/>
  <c r="T35" i="4"/>
  <c r="U35" i="4" s="1"/>
  <c r="S35" i="4"/>
  <c r="R35" i="4"/>
  <c r="Q35" i="4"/>
  <c r="M35" i="4"/>
  <c r="L35" i="4"/>
  <c r="N35" i="4" s="1"/>
  <c r="O35" i="4" s="1"/>
  <c r="R34" i="4"/>
  <c r="Q34" i="4"/>
  <c r="S34" i="4" s="1"/>
  <c r="N34" i="4"/>
  <c r="O34" i="4" s="1"/>
  <c r="M34" i="4"/>
  <c r="L34" i="4"/>
  <c r="R33" i="4"/>
  <c r="T33" i="4" s="1"/>
  <c r="U33" i="4" s="1"/>
  <c r="Q33" i="4"/>
  <c r="S33" i="4" s="1"/>
  <c r="M33" i="4"/>
  <c r="L33" i="4"/>
  <c r="N33" i="4" s="1"/>
  <c r="O33" i="4" s="1"/>
  <c r="S32" i="4"/>
  <c r="T32" i="4" s="1"/>
  <c r="U32" i="4" s="1"/>
  <c r="R32" i="4"/>
  <c r="Q32" i="4"/>
  <c r="M32" i="4"/>
  <c r="L32" i="4"/>
  <c r="N32" i="4" s="1"/>
  <c r="O32" i="4" s="1"/>
  <c r="S31" i="4"/>
  <c r="T31" i="4" s="1"/>
  <c r="U31" i="4" s="1"/>
  <c r="R31" i="4"/>
  <c r="M31" i="4"/>
  <c r="L31" i="4"/>
  <c r="N31" i="4" s="1"/>
  <c r="O31" i="4" s="1"/>
  <c r="R30" i="4"/>
  <c r="Q30" i="4"/>
  <c r="S30" i="4" s="1"/>
  <c r="M30" i="4"/>
  <c r="L30" i="4"/>
  <c r="N30" i="4" s="1"/>
  <c r="O30" i="4" s="1"/>
  <c r="R29" i="4"/>
  <c r="Q29" i="4"/>
  <c r="S29" i="4" s="1"/>
  <c r="M29" i="4"/>
  <c r="L29" i="4"/>
  <c r="N29" i="4" s="1"/>
  <c r="O29" i="4" s="1"/>
  <c r="R28" i="4"/>
  <c r="Q28" i="4"/>
  <c r="S28" i="4" s="1"/>
  <c r="M28" i="4"/>
  <c r="L28" i="4"/>
  <c r="N28" i="4" s="1"/>
  <c r="O28" i="4" s="1"/>
  <c r="Q27" i="4"/>
  <c r="S27" i="4" s="1"/>
  <c r="P27" i="4"/>
  <c r="R27" i="4" s="1"/>
  <c r="T27" i="4" s="1"/>
  <c r="U27" i="4" s="1"/>
  <c r="M27" i="4"/>
  <c r="L27" i="4"/>
  <c r="N27" i="4" s="1"/>
  <c r="O27" i="4" s="1"/>
  <c r="R26" i="4"/>
  <c r="Q26" i="4"/>
  <c r="S26" i="4" s="1"/>
  <c r="M26" i="4"/>
  <c r="L26" i="4"/>
  <c r="N26" i="4" s="1"/>
  <c r="O26" i="4" s="1"/>
  <c r="R25" i="4"/>
  <c r="Q25" i="4"/>
  <c r="S25" i="4" s="1"/>
  <c r="M25" i="4"/>
  <c r="L25" i="4"/>
  <c r="N25" i="4" s="1"/>
  <c r="O25" i="4" s="1"/>
  <c r="U24" i="4"/>
  <c r="R24" i="4"/>
  <c r="Q24" i="4"/>
  <c r="S24" i="4" s="1"/>
  <c r="T24" i="4" s="1"/>
  <c r="M24" i="4"/>
  <c r="L24" i="4"/>
  <c r="N24" i="4" s="1"/>
  <c r="O24" i="4" s="1"/>
  <c r="R23" i="4"/>
  <c r="Q23" i="4"/>
  <c r="S23" i="4" s="1"/>
  <c r="M23" i="4"/>
  <c r="N23" i="4" s="1"/>
  <c r="O23" i="4" s="1"/>
  <c r="L23" i="4"/>
  <c r="S22" i="4"/>
  <c r="R22" i="4"/>
  <c r="T22" i="4" s="1"/>
  <c r="U22" i="4" s="1"/>
  <c r="M22" i="4"/>
  <c r="L22" i="4"/>
  <c r="N22" i="4" s="1"/>
  <c r="O22" i="4" s="1"/>
  <c r="S21" i="4"/>
  <c r="T21" i="4" s="1"/>
  <c r="U21" i="4" s="1"/>
  <c r="R21" i="4"/>
  <c r="Q21" i="4"/>
  <c r="P21" i="4"/>
  <c r="M21" i="4"/>
  <c r="L21" i="4"/>
  <c r="N21" i="4" s="1"/>
  <c r="O21" i="4" s="1"/>
  <c r="S20" i="4"/>
  <c r="T20" i="4" s="1"/>
  <c r="U20" i="4" s="1"/>
  <c r="R20" i="4"/>
  <c r="Q20" i="4"/>
  <c r="N20" i="4"/>
  <c r="O20" i="4" s="1"/>
  <c r="M20" i="4"/>
  <c r="L20" i="4"/>
  <c r="R19" i="4"/>
  <c r="Q19" i="4"/>
  <c r="S19" i="4" s="1"/>
  <c r="M19" i="4"/>
  <c r="L19" i="4"/>
  <c r="N19" i="4" s="1"/>
  <c r="O19" i="4" s="1"/>
  <c r="T18" i="4"/>
  <c r="U18" i="4" s="1"/>
  <c r="S18" i="4"/>
  <c r="R18" i="4"/>
  <c r="Q18" i="4"/>
  <c r="P18" i="4"/>
  <c r="M18" i="4"/>
  <c r="L18" i="4"/>
  <c r="N18" i="4" s="1"/>
  <c r="O18" i="4" s="1"/>
  <c r="R17" i="4"/>
  <c r="Q17" i="4"/>
  <c r="S17" i="4" s="1"/>
  <c r="N17" i="4"/>
  <c r="O17" i="4" s="1"/>
  <c r="M17" i="4"/>
  <c r="L17" i="4"/>
  <c r="R16" i="4"/>
  <c r="Q16" i="4"/>
  <c r="S16" i="4" s="1"/>
  <c r="M16" i="4"/>
  <c r="L16" i="4"/>
  <c r="N16" i="4" s="1"/>
  <c r="O16" i="4" s="1"/>
  <c r="S15" i="4"/>
  <c r="T15" i="4" s="1"/>
  <c r="U15" i="4" s="1"/>
  <c r="R15" i="4"/>
  <c r="Q15" i="4"/>
  <c r="P15" i="4"/>
  <c r="M15" i="4"/>
  <c r="L15" i="4"/>
  <c r="N15" i="4" s="1"/>
  <c r="O15" i="4" s="1"/>
  <c r="R14" i="4"/>
  <c r="Q14" i="4"/>
  <c r="S14" i="4" s="1"/>
  <c r="N14" i="4"/>
  <c r="O14" i="4" s="1"/>
  <c r="M14" i="4"/>
  <c r="L14" i="4"/>
  <c r="R13" i="4"/>
  <c r="Q13" i="4"/>
  <c r="S13" i="4" s="1"/>
  <c r="N13" i="4"/>
  <c r="O13" i="4" s="1"/>
  <c r="M13" i="4"/>
  <c r="L13" i="4"/>
  <c r="S12" i="4"/>
  <c r="T12" i="4" s="1"/>
  <c r="U12" i="4" s="1"/>
  <c r="R12" i="4"/>
  <c r="Q12" i="4"/>
  <c r="P12" i="4"/>
  <c r="M12" i="4"/>
  <c r="L12" i="4"/>
  <c r="N12" i="4" s="1"/>
  <c r="O12" i="4" s="1"/>
  <c r="S11" i="4"/>
  <c r="R11" i="4"/>
  <c r="T11" i="4" s="1"/>
  <c r="U11" i="4" s="1"/>
  <c r="M11" i="4"/>
  <c r="N11" i="4" s="1"/>
  <c r="O11" i="4" s="1"/>
  <c r="L11" i="4"/>
  <c r="R10" i="4"/>
  <c r="Q10" i="4"/>
  <c r="S10" i="4" s="1"/>
  <c r="M10" i="4"/>
  <c r="L10" i="4"/>
  <c r="N10" i="4" s="1"/>
  <c r="O10" i="4" s="1"/>
  <c r="S9" i="4"/>
  <c r="R9" i="4"/>
  <c r="T9" i="4" s="1"/>
  <c r="U9" i="4" s="1"/>
  <c r="Q9" i="4"/>
  <c r="P9" i="4"/>
  <c r="M9" i="4"/>
  <c r="L9" i="4"/>
  <c r="N9" i="4" s="1"/>
  <c r="O9" i="4" s="1"/>
  <c r="R8" i="4"/>
  <c r="Q8" i="4"/>
  <c r="S8" i="4" s="1"/>
  <c r="M8" i="4"/>
  <c r="N8" i="4" s="1"/>
  <c r="O8" i="4" s="1"/>
  <c r="L8" i="4"/>
  <c r="Q7" i="4"/>
  <c r="S7" i="4" s="1"/>
  <c r="P7" i="4"/>
  <c r="R7" i="4" s="1"/>
  <c r="T7" i="4" s="1"/>
  <c r="U7" i="4" s="1"/>
  <c r="M7" i="4"/>
  <c r="L7" i="4"/>
  <c r="N7" i="4" s="1"/>
  <c r="O7" i="4" s="1"/>
  <c r="S6" i="4"/>
  <c r="T6" i="4" s="1"/>
  <c r="U6" i="4" s="1"/>
  <c r="R6" i="4"/>
  <c r="Q6" i="4"/>
  <c r="P6" i="4"/>
  <c r="M6" i="4"/>
  <c r="L6" i="4"/>
  <c r="N6" i="4" s="1"/>
  <c r="O6" i="4" s="1"/>
  <c r="S5" i="4"/>
  <c r="T5" i="4" s="1"/>
  <c r="U5" i="4" s="1"/>
  <c r="R5" i="4"/>
  <c r="Q5" i="4"/>
  <c r="N5" i="4"/>
  <c r="O5" i="4" s="1"/>
  <c r="M5" i="4"/>
  <c r="L5" i="4"/>
  <c r="Q4" i="4"/>
  <c r="S4" i="4" s="1"/>
  <c r="P4" i="4"/>
  <c r="R4" i="4" s="1"/>
  <c r="T4" i="4" s="1"/>
  <c r="U4" i="4" s="1"/>
  <c r="M4" i="4"/>
  <c r="L4" i="4"/>
  <c r="N4" i="4" s="1"/>
  <c r="O4" i="4" s="1"/>
  <c r="T3" i="4"/>
  <c r="U3" i="4" s="1"/>
  <c r="S3" i="4"/>
  <c r="Q3" i="4"/>
  <c r="P3" i="4"/>
  <c r="R3" i="4" s="1"/>
  <c r="M3" i="4"/>
  <c r="L3" i="4"/>
  <c r="N3" i="4" s="1"/>
  <c r="O3" i="4" s="1"/>
  <c r="R2" i="4"/>
  <c r="Q2" i="4"/>
  <c r="S2" i="4" s="1"/>
  <c r="O2" i="4"/>
  <c r="N2" i="4"/>
  <c r="M2" i="4"/>
  <c r="L2" i="4"/>
  <c r="L2" i="2"/>
  <c r="M2" i="2"/>
  <c r="N2" i="2"/>
  <c r="O2" i="2"/>
  <c r="Q2" i="2"/>
  <c r="R2" i="2"/>
  <c r="S2" i="2"/>
  <c r="T2" i="2"/>
  <c r="U2" i="2"/>
  <c r="R116" i="2"/>
  <c r="Q116" i="2"/>
  <c r="S116" i="2" s="1"/>
  <c r="P116" i="2"/>
  <c r="M116" i="2"/>
  <c r="L116" i="2"/>
  <c r="N116" i="2" s="1"/>
  <c r="O116" i="2" s="1"/>
  <c r="S115" i="2"/>
  <c r="R115" i="2"/>
  <c r="T115" i="2" s="1"/>
  <c r="U115" i="2" s="1"/>
  <c r="Q115" i="2"/>
  <c r="P115" i="2"/>
  <c r="M115" i="2"/>
  <c r="N115" i="2" s="1"/>
  <c r="O115" i="2" s="1"/>
  <c r="L115" i="2"/>
  <c r="Q114" i="2"/>
  <c r="S114" i="2" s="1"/>
  <c r="P114" i="2"/>
  <c r="R114" i="2" s="1"/>
  <c r="T114" i="2" s="1"/>
  <c r="U114" i="2" s="1"/>
  <c r="N114" i="2"/>
  <c r="O114" i="2" s="1"/>
  <c r="M114" i="2"/>
  <c r="L114" i="2"/>
  <c r="Q113" i="2"/>
  <c r="S113" i="2" s="1"/>
  <c r="P113" i="2"/>
  <c r="R113" i="2" s="1"/>
  <c r="T113" i="2" s="1"/>
  <c r="U113" i="2" s="1"/>
  <c r="M113" i="2"/>
  <c r="L113" i="2"/>
  <c r="N113" i="2" s="1"/>
  <c r="O113" i="2" s="1"/>
  <c r="Q112" i="2"/>
  <c r="S112" i="2" s="1"/>
  <c r="P112" i="2"/>
  <c r="R112" i="2" s="1"/>
  <c r="T112" i="2" s="1"/>
  <c r="U112" i="2" s="1"/>
  <c r="M112" i="2"/>
  <c r="L112" i="2"/>
  <c r="N112" i="2" s="1"/>
  <c r="O112" i="2" s="1"/>
  <c r="Q111" i="2"/>
  <c r="S111" i="2" s="1"/>
  <c r="P111" i="2"/>
  <c r="R111" i="2" s="1"/>
  <c r="T111" i="2" s="1"/>
  <c r="U111" i="2" s="1"/>
  <c r="M111" i="2"/>
  <c r="L111" i="2"/>
  <c r="N111" i="2" s="1"/>
  <c r="O111" i="2" s="1"/>
  <c r="Q110" i="2"/>
  <c r="S110" i="2" s="1"/>
  <c r="P110" i="2"/>
  <c r="R110" i="2" s="1"/>
  <c r="T110" i="2" s="1"/>
  <c r="U110" i="2" s="1"/>
  <c r="M110" i="2"/>
  <c r="L110" i="2"/>
  <c r="N110" i="2" s="1"/>
  <c r="O110" i="2" s="1"/>
  <c r="R109" i="2"/>
  <c r="Q109" i="2"/>
  <c r="S109" i="2" s="1"/>
  <c r="P109" i="2"/>
  <c r="M109" i="2"/>
  <c r="L109" i="2"/>
  <c r="N109" i="2" s="1"/>
  <c r="O109" i="2" s="1"/>
  <c r="S108" i="2"/>
  <c r="R108" i="2"/>
  <c r="T108" i="2" s="1"/>
  <c r="U108" i="2" s="1"/>
  <c r="Q108" i="2"/>
  <c r="P108" i="2"/>
  <c r="M108" i="2"/>
  <c r="N108" i="2" s="1"/>
  <c r="O108" i="2" s="1"/>
  <c r="L108" i="2"/>
  <c r="Q107" i="2"/>
  <c r="S107" i="2" s="1"/>
  <c r="P107" i="2"/>
  <c r="R107" i="2" s="1"/>
  <c r="N107" i="2"/>
  <c r="O107" i="2" s="1"/>
  <c r="M107" i="2"/>
  <c r="L107" i="2"/>
  <c r="S106" i="2"/>
  <c r="Q106" i="2"/>
  <c r="P106" i="2"/>
  <c r="R106" i="2" s="1"/>
  <c r="T106" i="2" s="1"/>
  <c r="U106" i="2" s="1"/>
  <c r="M106" i="2"/>
  <c r="L106" i="2"/>
  <c r="N106" i="2" s="1"/>
  <c r="O106" i="2" s="1"/>
  <c r="Q105" i="2"/>
  <c r="S105" i="2" s="1"/>
  <c r="P105" i="2"/>
  <c r="R105" i="2" s="1"/>
  <c r="T105" i="2" s="1"/>
  <c r="U105" i="2" s="1"/>
  <c r="M105" i="2"/>
  <c r="L105" i="2"/>
  <c r="N105" i="2" s="1"/>
  <c r="O105" i="2" s="1"/>
  <c r="Q104" i="2"/>
  <c r="S104" i="2" s="1"/>
  <c r="P104" i="2"/>
  <c r="R104" i="2" s="1"/>
  <c r="M104" i="2"/>
  <c r="L104" i="2"/>
  <c r="N104" i="2" s="1"/>
  <c r="O104" i="2" s="1"/>
  <c r="R103" i="2"/>
  <c r="Q103" i="2"/>
  <c r="S103" i="2" s="1"/>
  <c r="M103" i="2"/>
  <c r="N103" i="2" s="1"/>
  <c r="O103" i="2" s="1"/>
  <c r="L103" i="2"/>
  <c r="R102" i="2"/>
  <c r="Q102" i="2"/>
  <c r="S102" i="2" s="1"/>
  <c r="M102" i="2"/>
  <c r="L102" i="2"/>
  <c r="N102" i="2" s="1"/>
  <c r="O102" i="2" s="1"/>
  <c r="R101" i="2"/>
  <c r="T101" i="2" s="1"/>
  <c r="U101" i="2" s="1"/>
  <c r="Q101" i="2"/>
  <c r="S101" i="2" s="1"/>
  <c r="M101" i="2"/>
  <c r="L101" i="2"/>
  <c r="N101" i="2" s="1"/>
  <c r="O101" i="2" s="1"/>
  <c r="Q100" i="2"/>
  <c r="S100" i="2" s="1"/>
  <c r="P100" i="2"/>
  <c r="R100" i="2" s="1"/>
  <c r="M100" i="2"/>
  <c r="L100" i="2"/>
  <c r="N100" i="2" s="1"/>
  <c r="O100" i="2" s="1"/>
  <c r="R99" i="2"/>
  <c r="Q99" i="2"/>
  <c r="S99" i="2" s="1"/>
  <c r="M99" i="2"/>
  <c r="L99" i="2"/>
  <c r="N99" i="2" s="1"/>
  <c r="O99" i="2" s="1"/>
  <c r="S98" i="2"/>
  <c r="T98" i="2" s="1"/>
  <c r="U98" i="2" s="1"/>
  <c r="R98" i="2"/>
  <c r="Q98" i="2"/>
  <c r="P98" i="2"/>
  <c r="M98" i="2"/>
  <c r="L98" i="2"/>
  <c r="N98" i="2" s="1"/>
  <c r="O98" i="2" s="1"/>
  <c r="S97" i="2"/>
  <c r="R97" i="2"/>
  <c r="T97" i="2" s="1"/>
  <c r="U97" i="2" s="1"/>
  <c r="M97" i="2"/>
  <c r="L97" i="2"/>
  <c r="N97" i="2" s="1"/>
  <c r="O97" i="2" s="1"/>
  <c r="Q96" i="2"/>
  <c r="S96" i="2" s="1"/>
  <c r="T96" i="2" s="1"/>
  <c r="U96" i="2" s="1"/>
  <c r="P96" i="2"/>
  <c r="R96" i="2" s="1"/>
  <c r="M96" i="2"/>
  <c r="L96" i="2"/>
  <c r="N96" i="2" s="1"/>
  <c r="O96" i="2" s="1"/>
  <c r="S95" i="2"/>
  <c r="R95" i="2"/>
  <c r="T95" i="2" s="1"/>
  <c r="U95" i="2" s="1"/>
  <c r="N95" i="2"/>
  <c r="O95" i="2" s="1"/>
  <c r="M95" i="2"/>
  <c r="L95" i="2"/>
  <c r="Q94" i="2"/>
  <c r="S94" i="2" s="1"/>
  <c r="P94" i="2"/>
  <c r="R94" i="2" s="1"/>
  <c r="T94" i="2" s="1"/>
  <c r="U94" i="2" s="1"/>
  <c r="O94" i="2"/>
  <c r="N94" i="2"/>
  <c r="M94" i="2"/>
  <c r="L94" i="2"/>
  <c r="T93" i="2"/>
  <c r="U93" i="2" s="1"/>
  <c r="R93" i="2"/>
  <c r="Q93" i="2"/>
  <c r="S93" i="2" s="1"/>
  <c r="N93" i="2"/>
  <c r="O93" i="2" s="1"/>
  <c r="M93" i="2"/>
  <c r="L93" i="2"/>
  <c r="S92" i="2"/>
  <c r="R92" i="2"/>
  <c r="T92" i="2" s="1"/>
  <c r="U92" i="2" s="1"/>
  <c r="Q92" i="2"/>
  <c r="P92" i="2"/>
  <c r="M92" i="2"/>
  <c r="L92" i="2"/>
  <c r="N92" i="2" s="1"/>
  <c r="O92" i="2" s="1"/>
  <c r="R91" i="2"/>
  <c r="T91" i="2" s="1"/>
  <c r="U91" i="2" s="1"/>
  <c r="Q91" i="2"/>
  <c r="S91" i="2" s="1"/>
  <c r="M91" i="2"/>
  <c r="L91" i="2"/>
  <c r="N91" i="2" s="1"/>
  <c r="O91" i="2" s="1"/>
  <c r="T90" i="2"/>
  <c r="U90" i="2" s="1"/>
  <c r="R90" i="2"/>
  <c r="Q90" i="2"/>
  <c r="S90" i="2" s="1"/>
  <c r="N90" i="2"/>
  <c r="O90" i="2" s="1"/>
  <c r="M90" i="2"/>
  <c r="L90" i="2"/>
  <c r="U89" i="2"/>
  <c r="T89" i="2"/>
  <c r="S89" i="2"/>
  <c r="R89" i="2"/>
  <c r="M89" i="2"/>
  <c r="N89" i="2" s="1"/>
  <c r="O89" i="2" s="1"/>
  <c r="L89" i="2"/>
  <c r="S88" i="2"/>
  <c r="R88" i="2"/>
  <c r="T88" i="2" s="1"/>
  <c r="U88" i="2" s="1"/>
  <c r="Q88" i="2"/>
  <c r="P88" i="2"/>
  <c r="M88" i="2"/>
  <c r="L88" i="2"/>
  <c r="N88" i="2" s="1"/>
  <c r="O88" i="2" s="1"/>
  <c r="S87" i="2"/>
  <c r="T87" i="2" s="1"/>
  <c r="U87" i="2" s="1"/>
  <c r="R87" i="2"/>
  <c r="Q87" i="2"/>
  <c r="M87" i="2"/>
  <c r="N87" i="2" s="1"/>
  <c r="O87" i="2" s="1"/>
  <c r="L87" i="2"/>
  <c r="R86" i="2"/>
  <c r="Q86" i="2"/>
  <c r="S86" i="2" s="1"/>
  <c r="T86" i="2" s="1"/>
  <c r="U86" i="2" s="1"/>
  <c r="N86" i="2"/>
  <c r="O86" i="2" s="1"/>
  <c r="M86" i="2"/>
  <c r="L86" i="2"/>
  <c r="S85" i="2"/>
  <c r="R85" i="2"/>
  <c r="T85" i="2" s="1"/>
  <c r="U85" i="2" s="1"/>
  <c r="M85" i="2"/>
  <c r="L85" i="2"/>
  <c r="N85" i="2" s="1"/>
  <c r="O85" i="2" s="1"/>
  <c r="R84" i="2"/>
  <c r="Q84" i="2"/>
  <c r="S84" i="2" s="1"/>
  <c r="T84" i="2" s="1"/>
  <c r="U84" i="2" s="1"/>
  <c r="M84" i="2"/>
  <c r="L84" i="2"/>
  <c r="N84" i="2" s="1"/>
  <c r="O84" i="2" s="1"/>
  <c r="R83" i="2"/>
  <c r="Q83" i="2"/>
  <c r="S83" i="2" s="1"/>
  <c r="M83" i="2"/>
  <c r="L83" i="2"/>
  <c r="N83" i="2" s="1"/>
  <c r="O83" i="2" s="1"/>
  <c r="Q82" i="2"/>
  <c r="S82" i="2" s="1"/>
  <c r="P82" i="2"/>
  <c r="R82" i="2" s="1"/>
  <c r="M82" i="2"/>
  <c r="L82" i="2"/>
  <c r="N82" i="2" s="1"/>
  <c r="O82" i="2" s="1"/>
  <c r="R81" i="2"/>
  <c r="Q81" i="2"/>
  <c r="S81" i="2" s="1"/>
  <c r="M81" i="2"/>
  <c r="L81" i="2"/>
  <c r="N81" i="2" s="1"/>
  <c r="O81" i="2" s="1"/>
  <c r="S80" i="2"/>
  <c r="P80" i="2"/>
  <c r="R80" i="2" s="1"/>
  <c r="T80" i="2" s="1"/>
  <c r="U80" i="2" s="1"/>
  <c r="M80" i="2"/>
  <c r="L80" i="2"/>
  <c r="N80" i="2" s="1"/>
  <c r="O80" i="2" s="1"/>
  <c r="R79" i="2"/>
  <c r="Q79" i="2"/>
  <c r="S79" i="2" s="1"/>
  <c r="M79" i="2"/>
  <c r="L79" i="2"/>
  <c r="N79" i="2" s="1"/>
  <c r="O79" i="2" s="1"/>
  <c r="R78" i="2"/>
  <c r="Q78" i="2"/>
  <c r="S78" i="2" s="1"/>
  <c r="M78" i="2"/>
  <c r="L78" i="2"/>
  <c r="N78" i="2" s="1"/>
  <c r="O78" i="2" s="1"/>
  <c r="R77" i="2"/>
  <c r="T77" i="2" s="1"/>
  <c r="U77" i="2" s="1"/>
  <c r="Q77" i="2"/>
  <c r="S77" i="2" s="1"/>
  <c r="M77" i="2"/>
  <c r="L77" i="2"/>
  <c r="N77" i="2" s="1"/>
  <c r="O77" i="2" s="1"/>
  <c r="Q76" i="2"/>
  <c r="S76" i="2" s="1"/>
  <c r="P76" i="2"/>
  <c r="R76" i="2" s="1"/>
  <c r="T76" i="2" s="1"/>
  <c r="U76" i="2" s="1"/>
  <c r="M76" i="2"/>
  <c r="L76" i="2"/>
  <c r="R75" i="2"/>
  <c r="Q75" i="2"/>
  <c r="S75" i="2" s="1"/>
  <c r="O75" i="2"/>
  <c r="M75" i="2"/>
  <c r="L75" i="2"/>
  <c r="N75" i="2" s="1"/>
  <c r="R74" i="2"/>
  <c r="T74" i="2" s="1"/>
  <c r="U74" i="2" s="1"/>
  <c r="Q74" i="2"/>
  <c r="S74" i="2" s="1"/>
  <c r="N74" i="2"/>
  <c r="O74" i="2" s="1"/>
  <c r="M74" i="2"/>
  <c r="L74" i="2"/>
  <c r="R73" i="2"/>
  <c r="Q73" i="2"/>
  <c r="S73" i="2" s="1"/>
  <c r="T73" i="2" s="1"/>
  <c r="U73" i="2" s="1"/>
  <c r="N73" i="2"/>
  <c r="O73" i="2" s="1"/>
  <c r="M73" i="2"/>
  <c r="L73" i="2"/>
  <c r="R72" i="2"/>
  <c r="Q72" i="2"/>
  <c r="S72" i="2" s="1"/>
  <c r="N72" i="2"/>
  <c r="O72" i="2" s="1"/>
  <c r="M72" i="2"/>
  <c r="L72" i="2"/>
  <c r="R71" i="2"/>
  <c r="Q71" i="2"/>
  <c r="S71" i="2" s="1"/>
  <c r="T71" i="2" s="1"/>
  <c r="U71" i="2" s="1"/>
  <c r="M71" i="2"/>
  <c r="N71" i="2" s="1"/>
  <c r="O71" i="2" s="1"/>
  <c r="L71" i="2"/>
  <c r="S70" i="2"/>
  <c r="Q70" i="2"/>
  <c r="P70" i="2"/>
  <c r="R70" i="2" s="1"/>
  <c r="T70" i="2" s="1"/>
  <c r="U70" i="2" s="1"/>
  <c r="M70" i="2"/>
  <c r="L70" i="2"/>
  <c r="N70" i="2" s="1"/>
  <c r="O70" i="2" s="1"/>
  <c r="S69" i="2"/>
  <c r="T69" i="2" s="1"/>
  <c r="U69" i="2" s="1"/>
  <c r="R69" i="2"/>
  <c r="Q69" i="2"/>
  <c r="N69" i="2"/>
  <c r="O69" i="2" s="1"/>
  <c r="M69" i="2"/>
  <c r="L69" i="2"/>
  <c r="R68" i="2"/>
  <c r="Q68" i="2"/>
  <c r="S68" i="2" s="1"/>
  <c r="T68" i="2" s="1"/>
  <c r="U68" i="2" s="1"/>
  <c r="M68" i="2"/>
  <c r="L68" i="2"/>
  <c r="N68" i="2" s="1"/>
  <c r="O68" i="2" s="1"/>
  <c r="S67" i="2"/>
  <c r="Q67" i="2"/>
  <c r="P67" i="2"/>
  <c r="R67" i="2" s="1"/>
  <c r="T67" i="2" s="1"/>
  <c r="U67" i="2" s="1"/>
  <c r="M67" i="2"/>
  <c r="L67" i="2"/>
  <c r="N67" i="2" s="1"/>
  <c r="O67" i="2" s="1"/>
  <c r="R66" i="2"/>
  <c r="Q66" i="2"/>
  <c r="S66" i="2" s="1"/>
  <c r="N66" i="2"/>
  <c r="O66" i="2" s="1"/>
  <c r="M66" i="2"/>
  <c r="L66" i="2"/>
  <c r="Q65" i="2"/>
  <c r="S65" i="2" s="1"/>
  <c r="P65" i="2"/>
  <c r="R65" i="2" s="1"/>
  <c r="M65" i="2"/>
  <c r="L65" i="2"/>
  <c r="N65" i="2" s="1"/>
  <c r="O65" i="2" s="1"/>
  <c r="Q64" i="2"/>
  <c r="S64" i="2" s="1"/>
  <c r="P64" i="2"/>
  <c r="R64" i="2" s="1"/>
  <c r="T64" i="2" s="1"/>
  <c r="U64" i="2" s="1"/>
  <c r="O64" i="2"/>
  <c r="M64" i="2"/>
  <c r="L64" i="2"/>
  <c r="N64" i="2" s="1"/>
  <c r="R63" i="2"/>
  <c r="Q63" i="2"/>
  <c r="S63" i="2" s="1"/>
  <c r="M63" i="2"/>
  <c r="L63" i="2"/>
  <c r="N63" i="2" s="1"/>
  <c r="O63" i="2" s="1"/>
  <c r="S62" i="2"/>
  <c r="P62" i="2"/>
  <c r="R62" i="2" s="1"/>
  <c r="T62" i="2" s="1"/>
  <c r="U62" i="2" s="1"/>
  <c r="M62" i="2"/>
  <c r="L62" i="2"/>
  <c r="N62" i="2" s="1"/>
  <c r="O62" i="2" s="1"/>
  <c r="T61" i="2"/>
  <c r="U61" i="2" s="1"/>
  <c r="S61" i="2"/>
  <c r="R61" i="2"/>
  <c r="M61" i="2"/>
  <c r="N61" i="2" s="1"/>
  <c r="O61" i="2" s="1"/>
  <c r="L61" i="2"/>
  <c r="S60" i="2"/>
  <c r="R60" i="2"/>
  <c r="T60" i="2" s="1"/>
  <c r="U60" i="2" s="1"/>
  <c r="Q60" i="2"/>
  <c r="M60" i="2"/>
  <c r="N60" i="2" s="1"/>
  <c r="O60" i="2" s="1"/>
  <c r="L60" i="2"/>
  <c r="S59" i="2"/>
  <c r="R59" i="2"/>
  <c r="T59" i="2" s="1"/>
  <c r="U59" i="2" s="1"/>
  <c r="Q59" i="2"/>
  <c r="M59" i="2"/>
  <c r="L59" i="2"/>
  <c r="N59" i="2" s="1"/>
  <c r="O59" i="2" s="1"/>
  <c r="T58" i="2"/>
  <c r="U58" i="2" s="1"/>
  <c r="S58" i="2"/>
  <c r="R58" i="2"/>
  <c r="Q58" i="2"/>
  <c r="P58" i="2"/>
  <c r="M58" i="2"/>
  <c r="N58" i="2" s="1"/>
  <c r="O58" i="2" s="1"/>
  <c r="L58" i="2"/>
  <c r="R57" i="2"/>
  <c r="Q57" i="2"/>
  <c r="S57" i="2" s="1"/>
  <c r="M57" i="2"/>
  <c r="N57" i="2" s="1"/>
  <c r="O57" i="2" s="1"/>
  <c r="L57" i="2"/>
  <c r="S56" i="2"/>
  <c r="R56" i="2"/>
  <c r="T56" i="2" s="1"/>
  <c r="U56" i="2" s="1"/>
  <c r="Q56" i="2"/>
  <c r="M56" i="2"/>
  <c r="L56" i="2"/>
  <c r="N56" i="2" s="1"/>
  <c r="O56" i="2" s="1"/>
  <c r="S55" i="2"/>
  <c r="R55" i="2"/>
  <c r="T55" i="2" s="1"/>
  <c r="U55" i="2" s="1"/>
  <c r="Q55" i="2"/>
  <c r="M55" i="2"/>
  <c r="L55" i="2"/>
  <c r="N55" i="2" s="1"/>
  <c r="O55" i="2" s="1"/>
  <c r="R54" i="2"/>
  <c r="Q54" i="2"/>
  <c r="S54" i="2" s="1"/>
  <c r="M54" i="2"/>
  <c r="L54" i="2"/>
  <c r="N54" i="2" s="1"/>
  <c r="O54" i="2" s="1"/>
  <c r="R53" i="2"/>
  <c r="Q53" i="2"/>
  <c r="S53" i="2" s="1"/>
  <c r="M53" i="2"/>
  <c r="L53" i="2"/>
  <c r="N53" i="2" s="1"/>
  <c r="O53" i="2" s="1"/>
  <c r="R52" i="2"/>
  <c r="Q52" i="2"/>
  <c r="S52" i="2" s="1"/>
  <c r="P52" i="2"/>
  <c r="M52" i="2"/>
  <c r="L52" i="2"/>
  <c r="N52" i="2" s="1"/>
  <c r="O52" i="2" s="1"/>
  <c r="R51" i="2"/>
  <c r="Q51" i="2"/>
  <c r="S51" i="2" s="1"/>
  <c r="N51" i="2"/>
  <c r="O51" i="2" s="1"/>
  <c r="M51" i="2"/>
  <c r="L51" i="2"/>
  <c r="R50" i="2"/>
  <c r="Q50" i="2"/>
  <c r="S50" i="2" s="1"/>
  <c r="P50" i="2"/>
  <c r="M50" i="2"/>
  <c r="L50" i="2"/>
  <c r="N50" i="2" s="1"/>
  <c r="O50" i="2" s="1"/>
  <c r="S49" i="2"/>
  <c r="R49" i="2"/>
  <c r="T49" i="2" s="1"/>
  <c r="U49" i="2" s="1"/>
  <c r="Q49" i="2"/>
  <c r="P49" i="2"/>
  <c r="M49" i="2"/>
  <c r="N49" i="2" s="1"/>
  <c r="O49" i="2" s="1"/>
  <c r="L49" i="2"/>
  <c r="R48" i="2"/>
  <c r="T48" i="2" s="1"/>
  <c r="U48" i="2" s="1"/>
  <c r="Q48" i="2"/>
  <c r="S48" i="2" s="1"/>
  <c r="M48" i="2"/>
  <c r="N48" i="2" s="1"/>
  <c r="O48" i="2" s="1"/>
  <c r="L48" i="2"/>
  <c r="S47" i="2"/>
  <c r="R47" i="2"/>
  <c r="T47" i="2" s="1"/>
  <c r="U47" i="2" s="1"/>
  <c r="Q47" i="2"/>
  <c r="M47" i="2"/>
  <c r="L47" i="2"/>
  <c r="N47" i="2" s="1"/>
  <c r="O47" i="2" s="1"/>
  <c r="S46" i="2"/>
  <c r="R46" i="2"/>
  <c r="T46" i="2" s="1"/>
  <c r="U46" i="2" s="1"/>
  <c r="M46" i="2"/>
  <c r="L46" i="2"/>
  <c r="N46" i="2" s="1"/>
  <c r="O46" i="2" s="1"/>
  <c r="S45" i="2"/>
  <c r="R45" i="2"/>
  <c r="T45" i="2" s="1"/>
  <c r="U45" i="2" s="1"/>
  <c r="Q45" i="2"/>
  <c r="P45" i="2"/>
  <c r="M45" i="2"/>
  <c r="L45" i="2"/>
  <c r="N45" i="2" s="1"/>
  <c r="O45" i="2" s="1"/>
  <c r="R44" i="2"/>
  <c r="Q44" i="2"/>
  <c r="S44" i="2" s="1"/>
  <c r="M44" i="2"/>
  <c r="L44" i="2"/>
  <c r="N44" i="2" s="1"/>
  <c r="O44" i="2" s="1"/>
  <c r="S43" i="2"/>
  <c r="T43" i="2" s="1"/>
  <c r="U43" i="2" s="1"/>
  <c r="R43" i="2"/>
  <c r="Q43" i="2"/>
  <c r="M43" i="2"/>
  <c r="L43" i="2"/>
  <c r="N43" i="2" s="1"/>
  <c r="O43" i="2" s="1"/>
  <c r="R42" i="2"/>
  <c r="Q42" i="2"/>
  <c r="S42" i="2" s="1"/>
  <c r="M42" i="2"/>
  <c r="L42" i="2"/>
  <c r="N42" i="2" s="1"/>
  <c r="O42" i="2" s="1"/>
  <c r="R41" i="2"/>
  <c r="T41" i="2" s="1"/>
  <c r="U41" i="2" s="1"/>
  <c r="Q41" i="2"/>
  <c r="S41" i="2" s="1"/>
  <c r="M41" i="2"/>
  <c r="L41" i="2"/>
  <c r="N41" i="2" s="1"/>
  <c r="O41" i="2" s="1"/>
  <c r="S40" i="2"/>
  <c r="R40" i="2"/>
  <c r="T40" i="2" s="1"/>
  <c r="U40" i="2" s="1"/>
  <c r="P40" i="2"/>
  <c r="M40" i="2"/>
  <c r="L40" i="2"/>
  <c r="N40" i="2" s="1"/>
  <c r="O40" i="2" s="1"/>
  <c r="S39" i="2"/>
  <c r="P39" i="2"/>
  <c r="R39" i="2" s="1"/>
  <c r="T39" i="2" s="1"/>
  <c r="U39" i="2" s="1"/>
  <c r="M39" i="2"/>
  <c r="L39" i="2"/>
  <c r="N39" i="2" s="1"/>
  <c r="O39" i="2" s="1"/>
  <c r="S38" i="2"/>
  <c r="P38" i="2"/>
  <c r="R38" i="2" s="1"/>
  <c r="T38" i="2" s="1"/>
  <c r="U38" i="2" s="1"/>
  <c r="M38" i="2"/>
  <c r="L38" i="2"/>
  <c r="N38" i="2" s="1"/>
  <c r="O38" i="2" s="1"/>
  <c r="R37" i="2"/>
  <c r="Q37" i="2"/>
  <c r="S37" i="2" s="1"/>
  <c r="N37" i="2"/>
  <c r="O37" i="2" s="1"/>
  <c r="M37" i="2"/>
  <c r="L37" i="2"/>
  <c r="Q36" i="2"/>
  <c r="S36" i="2" s="1"/>
  <c r="P36" i="2"/>
  <c r="R36" i="2" s="1"/>
  <c r="M36" i="2"/>
  <c r="N36" i="2" s="1"/>
  <c r="O36" i="2" s="1"/>
  <c r="L36" i="2"/>
  <c r="R35" i="2"/>
  <c r="Q35" i="2"/>
  <c r="S35" i="2" s="1"/>
  <c r="T35" i="2" s="1"/>
  <c r="U35" i="2" s="1"/>
  <c r="M35" i="2"/>
  <c r="L35" i="2"/>
  <c r="N35" i="2" s="1"/>
  <c r="O35" i="2" s="1"/>
  <c r="R34" i="2"/>
  <c r="Q34" i="2"/>
  <c r="S34" i="2" s="1"/>
  <c r="O34" i="2"/>
  <c r="N34" i="2"/>
  <c r="M34" i="2"/>
  <c r="L34" i="2"/>
  <c r="R33" i="2"/>
  <c r="Q33" i="2"/>
  <c r="S33" i="2" s="1"/>
  <c r="T33" i="2" s="1"/>
  <c r="U33" i="2" s="1"/>
  <c r="M33" i="2"/>
  <c r="L33" i="2"/>
  <c r="N33" i="2" s="1"/>
  <c r="O33" i="2" s="1"/>
  <c r="S32" i="2"/>
  <c r="T32" i="2" s="1"/>
  <c r="U32" i="2" s="1"/>
  <c r="R32" i="2"/>
  <c r="Q32" i="2"/>
  <c r="M32" i="2"/>
  <c r="N32" i="2" s="1"/>
  <c r="O32" i="2" s="1"/>
  <c r="L32" i="2"/>
  <c r="S31" i="2"/>
  <c r="R31" i="2"/>
  <c r="T31" i="2" s="1"/>
  <c r="U31" i="2" s="1"/>
  <c r="M31" i="2"/>
  <c r="L31" i="2"/>
  <c r="N31" i="2" s="1"/>
  <c r="O31" i="2" s="1"/>
  <c r="R30" i="2"/>
  <c r="Q30" i="2"/>
  <c r="S30" i="2" s="1"/>
  <c r="N30" i="2"/>
  <c r="O30" i="2" s="1"/>
  <c r="M30" i="2"/>
  <c r="L30" i="2"/>
  <c r="R29" i="2"/>
  <c r="T29" i="2" s="1"/>
  <c r="U29" i="2" s="1"/>
  <c r="Q29" i="2"/>
  <c r="S29" i="2" s="1"/>
  <c r="M29" i="2"/>
  <c r="L29" i="2"/>
  <c r="N29" i="2" s="1"/>
  <c r="O29" i="2" s="1"/>
  <c r="R28" i="2"/>
  <c r="Q28" i="2"/>
  <c r="S28" i="2" s="1"/>
  <c r="M28" i="2"/>
  <c r="L28" i="2"/>
  <c r="N28" i="2" s="1"/>
  <c r="O28" i="2" s="1"/>
  <c r="Q27" i="2"/>
  <c r="S27" i="2" s="1"/>
  <c r="P27" i="2"/>
  <c r="R27" i="2" s="1"/>
  <c r="T27" i="2" s="1"/>
  <c r="U27" i="2" s="1"/>
  <c r="M27" i="2"/>
  <c r="L27" i="2"/>
  <c r="N27" i="2" s="1"/>
  <c r="O27" i="2" s="1"/>
  <c r="R26" i="2"/>
  <c r="T26" i="2" s="1"/>
  <c r="U26" i="2" s="1"/>
  <c r="Q26" i="2"/>
  <c r="S26" i="2" s="1"/>
  <c r="M26" i="2"/>
  <c r="L26" i="2"/>
  <c r="N26" i="2" s="1"/>
  <c r="O26" i="2" s="1"/>
  <c r="R25" i="2"/>
  <c r="Q25" i="2"/>
  <c r="S25" i="2" s="1"/>
  <c r="M25" i="2"/>
  <c r="L25" i="2"/>
  <c r="N25" i="2" s="1"/>
  <c r="O25" i="2" s="1"/>
  <c r="R24" i="2"/>
  <c r="Q24" i="2"/>
  <c r="S24" i="2" s="1"/>
  <c r="O24" i="2"/>
  <c r="M24" i="2"/>
  <c r="L24" i="2"/>
  <c r="N24" i="2" s="1"/>
  <c r="R23" i="2"/>
  <c r="Q23" i="2"/>
  <c r="S23" i="2" s="1"/>
  <c r="M23" i="2"/>
  <c r="L23" i="2"/>
  <c r="N23" i="2" s="1"/>
  <c r="O23" i="2" s="1"/>
  <c r="S22" i="2"/>
  <c r="R22" i="2"/>
  <c r="T22" i="2" s="1"/>
  <c r="U22" i="2" s="1"/>
  <c r="M22" i="2"/>
  <c r="L22" i="2"/>
  <c r="N22" i="2" s="1"/>
  <c r="O22" i="2" s="1"/>
  <c r="S21" i="2"/>
  <c r="Q21" i="2"/>
  <c r="P21" i="2"/>
  <c r="R21" i="2" s="1"/>
  <c r="T21" i="2" s="1"/>
  <c r="U21" i="2" s="1"/>
  <c r="M21" i="2"/>
  <c r="L21" i="2"/>
  <c r="N21" i="2" s="1"/>
  <c r="O21" i="2" s="1"/>
  <c r="S20" i="2"/>
  <c r="T20" i="2" s="1"/>
  <c r="U20" i="2" s="1"/>
  <c r="R20" i="2"/>
  <c r="Q20" i="2"/>
  <c r="N20" i="2"/>
  <c r="O20" i="2" s="1"/>
  <c r="M20" i="2"/>
  <c r="L20" i="2"/>
  <c r="R19" i="2"/>
  <c r="Q19" i="2"/>
  <c r="S19" i="2" s="1"/>
  <c r="T19" i="2" s="1"/>
  <c r="U19" i="2" s="1"/>
  <c r="M19" i="2"/>
  <c r="L19" i="2"/>
  <c r="N19" i="2" s="1"/>
  <c r="O19" i="2" s="1"/>
  <c r="S18" i="2"/>
  <c r="Q18" i="2"/>
  <c r="P18" i="2"/>
  <c r="R18" i="2" s="1"/>
  <c r="T18" i="2" s="1"/>
  <c r="U18" i="2" s="1"/>
  <c r="M18" i="2"/>
  <c r="L18" i="2"/>
  <c r="N18" i="2" s="1"/>
  <c r="O18" i="2" s="1"/>
  <c r="R17" i="2"/>
  <c r="Q17" i="2"/>
  <c r="S17" i="2" s="1"/>
  <c r="N17" i="2"/>
  <c r="O17" i="2" s="1"/>
  <c r="M17" i="2"/>
  <c r="L17" i="2"/>
  <c r="R16" i="2"/>
  <c r="Q16" i="2"/>
  <c r="S16" i="2" s="1"/>
  <c r="T16" i="2" s="1"/>
  <c r="U16" i="2" s="1"/>
  <c r="M16" i="2"/>
  <c r="L16" i="2"/>
  <c r="N16" i="2" s="1"/>
  <c r="O16" i="2" s="1"/>
  <c r="S15" i="2"/>
  <c r="Q15" i="2"/>
  <c r="P15" i="2"/>
  <c r="R15" i="2" s="1"/>
  <c r="T15" i="2" s="1"/>
  <c r="U15" i="2" s="1"/>
  <c r="M15" i="2"/>
  <c r="L15" i="2"/>
  <c r="N15" i="2" s="1"/>
  <c r="O15" i="2" s="1"/>
  <c r="R14" i="2"/>
  <c r="Q14" i="2"/>
  <c r="S14" i="2" s="1"/>
  <c r="N14" i="2"/>
  <c r="O14" i="2" s="1"/>
  <c r="M14" i="2"/>
  <c r="L14" i="2"/>
  <c r="S13" i="2"/>
  <c r="T13" i="2" s="1"/>
  <c r="U13" i="2" s="1"/>
  <c r="R13" i="2"/>
  <c r="Q13" i="2"/>
  <c r="M13" i="2"/>
  <c r="L13" i="2"/>
  <c r="N13" i="2" s="1"/>
  <c r="O13" i="2" s="1"/>
  <c r="S12" i="2"/>
  <c r="Q12" i="2"/>
  <c r="P12" i="2"/>
  <c r="R12" i="2" s="1"/>
  <c r="T12" i="2" s="1"/>
  <c r="U12" i="2" s="1"/>
  <c r="M12" i="2"/>
  <c r="L12" i="2"/>
  <c r="N12" i="2" s="1"/>
  <c r="O12" i="2" s="1"/>
  <c r="S11" i="2"/>
  <c r="R11" i="2"/>
  <c r="T11" i="2" s="1"/>
  <c r="U11" i="2" s="1"/>
  <c r="M11" i="2"/>
  <c r="N11" i="2" s="1"/>
  <c r="O11" i="2" s="1"/>
  <c r="L11" i="2"/>
  <c r="S10" i="2"/>
  <c r="R10" i="2"/>
  <c r="T10" i="2" s="1"/>
  <c r="U10" i="2" s="1"/>
  <c r="Q10" i="2"/>
  <c r="M10" i="2"/>
  <c r="L10" i="2"/>
  <c r="N10" i="2" s="1"/>
  <c r="O10" i="2" s="1"/>
  <c r="S9" i="2"/>
  <c r="R9" i="2"/>
  <c r="T9" i="2" s="1"/>
  <c r="U9" i="2" s="1"/>
  <c r="Q9" i="2"/>
  <c r="P9" i="2"/>
  <c r="M9" i="2"/>
  <c r="N9" i="2" s="1"/>
  <c r="O9" i="2" s="1"/>
  <c r="L9" i="2"/>
  <c r="R8" i="2"/>
  <c r="Q8" i="2"/>
  <c r="S8" i="2" s="1"/>
  <c r="M8" i="2"/>
  <c r="N8" i="2" s="1"/>
  <c r="O8" i="2" s="1"/>
  <c r="L8" i="2"/>
  <c r="S7" i="2"/>
  <c r="Q7" i="2"/>
  <c r="P7" i="2"/>
  <c r="R7" i="2" s="1"/>
  <c r="T7" i="2" s="1"/>
  <c r="U7" i="2" s="1"/>
  <c r="M7" i="2"/>
  <c r="L7" i="2"/>
  <c r="N7" i="2" s="1"/>
  <c r="O7" i="2" s="1"/>
  <c r="S6" i="2"/>
  <c r="T6" i="2" s="1"/>
  <c r="U6" i="2" s="1"/>
  <c r="Q6" i="2"/>
  <c r="P6" i="2"/>
  <c r="R6" i="2" s="1"/>
  <c r="M6" i="2"/>
  <c r="L6" i="2"/>
  <c r="N6" i="2" s="1"/>
  <c r="O6" i="2" s="1"/>
  <c r="R5" i="2"/>
  <c r="Q5" i="2"/>
  <c r="S5" i="2" s="1"/>
  <c r="N5" i="2"/>
  <c r="O5" i="2" s="1"/>
  <c r="M5" i="2"/>
  <c r="L5" i="2"/>
  <c r="Q4" i="2"/>
  <c r="S4" i="2" s="1"/>
  <c r="P4" i="2"/>
  <c r="R4" i="2" s="1"/>
  <c r="M4" i="2"/>
  <c r="L4" i="2"/>
  <c r="N4" i="2" s="1"/>
  <c r="O4" i="2" s="1"/>
  <c r="Q3" i="2"/>
  <c r="S3" i="2" s="1"/>
  <c r="P3" i="2"/>
  <c r="R3" i="2" s="1"/>
  <c r="T3" i="2" s="1"/>
  <c r="U3" i="2" s="1"/>
  <c r="M3" i="2"/>
  <c r="L3" i="2"/>
  <c r="N3" i="2" s="1"/>
  <c r="O3" i="2" s="1"/>
  <c r="Q88" i="1"/>
  <c r="U2" i="1"/>
  <c r="Q116" i="1"/>
  <c r="S116" i="1" s="1"/>
  <c r="P116" i="1"/>
  <c r="R116" i="1" s="1"/>
  <c r="T116" i="1" s="1"/>
  <c r="U116" i="1" s="1"/>
  <c r="N116" i="1"/>
  <c r="O116" i="1" s="1"/>
  <c r="M116" i="1"/>
  <c r="L116" i="1"/>
  <c r="Q115" i="1"/>
  <c r="S115" i="1" s="1"/>
  <c r="P115" i="1"/>
  <c r="R115" i="1" s="1"/>
  <c r="T115" i="1" s="1"/>
  <c r="U115" i="1" s="1"/>
  <c r="M115" i="1"/>
  <c r="L115" i="1"/>
  <c r="N115" i="1" s="1"/>
  <c r="O115" i="1" s="1"/>
  <c r="S114" i="1"/>
  <c r="Q114" i="1"/>
  <c r="P114" i="1"/>
  <c r="R114" i="1" s="1"/>
  <c r="T114" i="1" s="1"/>
  <c r="U114" i="1" s="1"/>
  <c r="M114" i="1"/>
  <c r="L114" i="1"/>
  <c r="N114" i="1" s="1"/>
  <c r="O114" i="1" s="1"/>
  <c r="T8" i="4" l="1"/>
  <c r="U8" i="4" s="1"/>
  <c r="T101" i="4"/>
  <c r="U101" i="4" s="1"/>
  <c r="T66" i="4"/>
  <c r="U66" i="4" s="1"/>
  <c r="T23" i="4"/>
  <c r="U23" i="4" s="1"/>
  <c r="T78" i="4"/>
  <c r="U78" i="4" s="1"/>
  <c r="T17" i="4"/>
  <c r="U17" i="4" s="1"/>
  <c r="T72" i="4"/>
  <c r="U72" i="4" s="1"/>
  <c r="T29" i="4"/>
  <c r="U29" i="4" s="1"/>
  <c r="T26" i="4"/>
  <c r="U26" i="4" s="1"/>
  <c r="T34" i="4"/>
  <c r="U34" i="4" s="1"/>
  <c r="T43" i="4"/>
  <c r="U43" i="4" s="1"/>
  <c r="T14" i="4"/>
  <c r="U14" i="4" s="1"/>
  <c r="T63" i="4"/>
  <c r="U63" i="4" s="1"/>
  <c r="T69" i="4"/>
  <c r="U69" i="4" s="1"/>
  <c r="T52" i="4"/>
  <c r="U52" i="4" s="1"/>
  <c r="T2" i="4"/>
  <c r="U2" i="4" s="1"/>
  <c r="T25" i="4"/>
  <c r="U25" i="4" s="1"/>
  <c r="T48" i="4"/>
  <c r="U48" i="4" s="1"/>
  <c r="T51" i="4"/>
  <c r="U51" i="4" s="1"/>
  <c r="T44" i="4"/>
  <c r="U44" i="4" s="1"/>
  <c r="T56" i="4"/>
  <c r="U56" i="4" s="1"/>
  <c r="T71" i="4"/>
  <c r="U71" i="4" s="1"/>
  <c r="T91" i="4"/>
  <c r="U91" i="4" s="1"/>
  <c r="T42" i="4"/>
  <c r="U42" i="4" s="1"/>
  <c r="T19" i="4"/>
  <c r="U19" i="4" s="1"/>
  <c r="T10" i="4"/>
  <c r="U10" i="4" s="1"/>
  <c r="T103" i="4"/>
  <c r="U103" i="4" s="1"/>
  <c r="T28" i="4"/>
  <c r="U28" i="4" s="1"/>
  <c r="T102" i="4"/>
  <c r="U102" i="4" s="1"/>
  <c r="T30" i="4"/>
  <c r="U30" i="4" s="1"/>
  <c r="T57" i="4"/>
  <c r="U57" i="4" s="1"/>
  <c r="T74" i="4"/>
  <c r="U74" i="4" s="1"/>
  <c r="T68" i="4"/>
  <c r="U68" i="4" s="1"/>
  <c r="T16" i="4"/>
  <c r="U16" i="4" s="1"/>
  <c r="T79" i="4"/>
  <c r="U79" i="4" s="1"/>
  <c r="T86" i="4"/>
  <c r="U86" i="4" s="1"/>
  <c r="T99" i="4"/>
  <c r="U99" i="4" s="1"/>
  <c r="T13" i="4"/>
  <c r="U13" i="4" s="1"/>
  <c r="T47" i="4"/>
  <c r="U47" i="4" s="1"/>
  <c r="T54" i="4"/>
  <c r="U54" i="4" s="1"/>
  <c r="T59" i="4"/>
  <c r="U59" i="4" s="1"/>
  <c r="T83" i="4"/>
  <c r="U83" i="4" s="1"/>
  <c r="T53" i="4"/>
  <c r="U53" i="4" s="1"/>
  <c r="N56" i="4"/>
  <c r="O56" i="4" s="1"/>
  <c r="T60" i="4"/>
  <c r="U60" i="4" s="1"/>
  <c r="T110" i="4"/>
  <c r="U110" i="4" s="1"/>
  <c r="T23" i="2"/>
  <c r="U23" i="2" s="1"/>
  <c r="T57" i="2"/>
  <c r="U57" i="2" s="1"/>
  <c r="T51" i="2"/>
  <c r="U51" i="2" s="1"/>
  <c r="T66" i="2"/>
  <c r="U66" i="2" s="1"/>
  <c r="T78" i="2"/>
  <c r="U78" i="2" s="1"/>
  <c r="T72" i="2"/>
  <c r="U72" i="2" s="1"/>
  <c r="T75" i="2"/>
  <c r="U75" i="2" s="1"/>
  <c r="T17" i="2"/>
  <c r="U17" i="2" s="1"/>
  <c r="T54" i="2"/>
  <c r="U54" i="2" s="1"/>
  <c r="T52" i="2"/>
  <c r="U52" i="2" s="1"/>
  <c r="T81" i="2"/>
  <c r="U81" i="2" s="1"/>
  <c r="T14" i="2"/>
  <c r="U14" i="2" s="1"/>
  <c r="T63" i="2"/>
  <c r="U63" i="2" s="1"/>
  <c r="T104" i="2"/>
  <c r="U104" i="2" s="1"/>
  <c r="T107" i="2"/>
  <c r="U107" i="2" s="1"/>
  <c r="T37" i="2"/>
  <c r="U37" i="2" s="1"/>
  <c r="T34" i="2"/>
  <c r="U34" i="2" s="1"/>
  <c r="T5" i="2"/>
  <c r="U5" i="2" s="1"/>
  <c r="T8" i="2"/>
  <c r="U8" i="2" s="1"/>
  <c r="T24" i="2"/>
  <c r="U24" i="2" s="1"/>
  <c r="T53" i="2"/>
  <c r="U53" i="2" s="1"/>
  <c r="T103" i="2"/>
  <c r="U103" i="2" s="1"/>
  <c r="T79" i="2"/>
  <c r="U79" i="2" s="1"/>
  <c r="T83" i="2"/>
  <c r="U83" i="2" s="1"/>
  <c r="T99" i="2"/>
  <c r="U99" i="2" s="1"/>
  <c r="T109" i="2"/>
  <c r="U109" i="2" s="1"/>
  <c r="T30" i="2"/>
  <c r="U30" i="2" s="1"/>
  <c r="T42" i="2"/>
  <c r="U42" i="2" s="1"/>
  <c r="T44" i="2"/>
  <c r="U44" i="2" s="1"/>
  <c r="N76" i="2"/>
  <c r="O76" i="2" s="1"/>
  <c r="T28" i="2"/>
  <c r="U28" i="2" s="1"/>
  <c r="T25" i="2"/>
  <c r="U25" i="2" s="1"/>
  <c r="T65" i="2"/>
  <c r="U65" i="2" s="1"/>
  <c r="T4" i="2"/>
  <c r="U4" i="2" s="1"/>
  <c r="T50" i="2"/>
  <c r="U50" i="2" s="1"/>
  <c r="T82" i="2"/>
  <c r="U82" i="2" s="1"/>
  <c r="T102" i="2"/>
  <c r="U102" i="2" s="1"/>
  <c r="T100" i="2"/>
  <c r="U100" i="2" s="1"/>
  <c r="T36" i="2"/>
  <c r="U36" i="2" s="1"/>
  <c r="T116" i="2"/>
  <c r="U116" i="2" s="1"/>
  <c r="Q83" i="1"/>
  <c r="S83" i="1" s="1"/>
  <c r="R83" i="1"/>
  <c r="M83" i="1"/>
  <c r="L83" i="1"/>
  <c r="Q82" i="1"/>
  <c r="S82" i="1" s="1"/>
  <c r="P82" i="1"/>
  <c r="R82" i="1" s="1"/>
  <c r="M82" i="1"/>
  <c r="L82" i="1"/>
  <c r="Q81" i="1"/>
  <c r="S81" i="1" s="1"/>
  <c r="R81" i="1"/>
  <c r="M81" i="1"/>
  <c r="L81" i="1"/>
  <c r="S80" i="1"/>
  <c r="P80" i="1"/>
  <c r="R80" i="1" s="1"/>
  <c r="M80" i="1"/>
  <c r="L80" i="1"/>
  <c r="L84" i="1"/>
  <c r="M84" i="1"/>
  <c r="Q84" i="1"/>
  <c r="S84" i="1" s="1"/>
  <c r="R84" i="1"/>
  <c r="L85" i="1"/>
  <c r="M85" i="1"/>
  <c r="S85" i="1"/>
  <c r="R85" i="1"/>
  <c r="L86" i="1"/>
  <c r="M86" i="1"/>
  <c r="Q86" i="1"/>
  <c r="S86" i="1" s="1"/>
  <c r="R86" i="1"/>
  <c r="L87" i="1"/>
  <c r="M87" i="1"/>
  <c r="R87" i="1"/>
  <c r="Q87" i="1"/>
  <c r="S87" i="1"/>
  <c r="L88" i="1"/>
  <c r="M88" i="1"/>
  <c r="N88" i="1"/>
  <c r="O88" i="1" s="1"/>
  <c r="P88" i="1"/>
  <c r="R88" i="1" s="1"/>
  <c r="S88" i="1"/>
  <c r="L89" i="1"/>
  <c r="M89" i="1"/>
  <c r="R89" i="1"/>
  <c r="S89" i="1"/>
  <c r="L90" i="1"/>
  <c r="M90" i="1"/>
  <c r="N90" i="1" s="1"/>
  <c r="O90" i="1" s="1"/>
  <c r="R90" i="1"/>
  <c r="Q90" i="1"/>
  <c r="S90" i="1"/>
  <c r="L91" i="1"/>
  <c r="M91" i="1"/>
  <c r="R91" i="1"/>
  <c r="Q91" i="1"/>
  <c r="S91" i="1" s="1"/>
  <c r="L92" i="1"/>
  <c r="M92" i="1"/>
  <c r="P92" i="1"/>
  <c r="R92" i="1" s="1"/>
  <c r="Q92" i="1"/>
  <c r="S92" i="1"/>
  <c r="L93" i="1"/>
  <c r="M93" i="1"/>
  <c r="Q93" i="1"/>
  <c r="R93" i="1"/>
  <c r="T93" i="1" s="1"/>
  <c r="U93" i="1" s="1"/>
  <c r="S93" i="1"/>
  <c r="L94" i="1"/>
  <c r="M94" i="1"/>
  <c r="P94" i="1"/>
  <c r="R94" i="1" s="1"/>
  <c r="Q94" i="1"/>
  <c r="S94" i="1" s="1"/>
  <c r="L95" i="1"/>
  <c r="M95" i="1"/>
  <c r="S95" i="1"/>
  <c r="R95" i="1"/>
  <c r="L104" i="1"/>
  <c r="M104" i="1"/>
  <c r="P104" i="1"/>
  <c r="R104" i="1" s="1"/>
  <c r="T104" i="1" s="1"/>
  <c r="U104" i="1" s="1"/>
  <c r="Q104" i="1"/>
  <c r="S104" i="1" s="1"/>
  <c r="L105" i="1"/>
  <c r="M105" i="1"/>
  <c r="P105" i="1"/>
  <c r="R105" i="1" s="1"/>
  <c r="Q105" i="1"/>
  <c r="S105" i="1" s="1"/>
  <c r="L106" i="1"/>
  <c r="M106" i="1"/>
  <c r="P106" i="1"/>
  <c r="R106" i="1" s="1"/>
  <c r="Q106" i="1"/>
  <c r="S106" i="1"/>
  <c r="L107" i="1"/>
  <c r="M107" i="1"/>
  <c r="P107" i="1"/>
  <c r="R107" i="1" s="1"/>
  <c r="Q107" i="1"/>
  <c r="S107" i="1"/>
  <c r="Q108" i="1"/>
  <c r="S108" i="1" s="1"/>
  <c r="P108" i="1"/>
  <c r="R108" i="1" s="1"/>
  <c r="M108" i="1"/>
  <c r="L108" i="1"/>
  <c r="L109" i="1"/>
  <c r="M109" i="1"/>
  <c r="P109" i="1"/>
  <c r="R109" i="1" s="1"/>
  <c r="Q109" i="1"/>
  <c r="S109" i="1" s="1"/>
  <c r="L110" i="1"/>
  <c r="M110" i="1"/>
  <c r="P110" i="1"/>
  <c r="R110" i="1" s="1"/>
  <c r="Q110" i="1"/>
  <c r="S110" i="1"/>
  <c r="L111" i="1"/>
  <c r="M111" i="1"/>
  <c r="P111" i="1"/>
  <c r="R111" i="1" s="1"/>
  <c r="Q111" i="1"/>
  <c r="S111" i="1"/>
  <c r="L112" i="1"/>
  <c r="M112" i="1"/>
  <c r="P112" i="1"/>
  <c r="R112" i="1" s="1"/>
  <c r="Q112" i="1"/>
  <c r="S112" i="1" s="1"/>
  <c r="L113" i="1"/>
  <c r="M113" i="1"/>
  <c r="P113" i="1"/>
  <c r="R113" i="1" s="1"/>
  <c r="Q113" i="1"/>
  <c r="S113" i="1"/>
  <c r="Q68" i="1"/>
  <c r="Q69" i="1"/>
  <c r="P70" i="1"/>
  <c r="Q70" i="1"/>
  <c r="Q71" i="1"/>
  <c r="Q72" i="1"/>
  <c r="P62" i="1"/>
  <c r="Q63" i="1"/>
  <c r="P64" i="1"/>
  <c r="Q64" i="1"/>
  <c r="P65" i="1"/>
  <c r="Q65" i="1"/>
  <c r="Q66" i="1"/>
  <c r="Q55" i="1"/>
  <c r="Q56" i="1"/>
  <c r="Q57" i="1"/>
  <c r="P58" i="1"/>
  <c r="Q58" i="1"/>
  <c r="Q59" i="1"/>
  <c r="Q60" i="1"/>
  <c r="P49" i="1"/>
  <c r="Q49" i="1"/>
  <c r="P50" i="1"/>
  <c r="Q50" i="1"/>
  <c r="Q51" i="1"/>
  <c r="P52" i="1"/>
  <c r="Q52" i="1"/>
  <c r="Q53" i="1"/>
  <c r="Q54" i="1"/>
  <c r="Q20" i="1"/>
  <c r="P21" i="1"/>
  <c r="Q21" i="1"/>
  <c r="Q23" i="1"/>
  <c r="Q8" i="1"/>
  <c r="P9" i="1"/>
  <c r="Q9" i="1"/>
  <c r="Q10" i="1"/>
  <c r="P12" i="1"/>
  <c r="Q12" i="1"/>
  <c r="Q13" i="1"/>
  <c r="Q43" i="1"/>
  <c r="Q44" i="1"/>
  <c r="P45" i="1"/>
  <c r="Q45" i="1"/>
  <c r="Q47" i="1"/>
  <c r="Q48" i="1"/>
  <c r="Q37" i="1"/>
  <c r="P38" i="1"/>
  <c r="P39" i="1"/>
  <c r="P40" i="1"/>
  <c r="Q41" i="1"/>
  <c r="Q42" i="1"/>
  <c r="Q30" i="1"/>
  <c r="Q32" i="1"/>
  <c r="Q33" i="1"/>
  <c r="Q34" i="1"/>
  <c r="Q35" i="1"/>
  <c r="P36" i="1"/>
  <c r="Q36" i="1"/>
  <c r="Q24" i="1"/>
  <c r="Q25" i="1"/>
  <c r="Q26" i="1"/>
  <c r="P27" i="1"/>
  <c r="Q27" i="1"/>
  <c r="Q28" i="1"/>
  <c r="Q29" i="1"/>
  <c r="Q14" i="1"/>
  <c r="P15" i="1"/>
  <c r="Q15" i="1"/>
  <c r="Q16" i="1"/>
  <c r="Q17" i="1"/>
  <c r="P18" i="1"/>
  <c r="Q18" i="1"/>
  <c r="Q19" i="1"/>
  <c r="Q2" i="1"/>
  <c r="P3" i="1"/>
  <c r="Q3" i="1"/>
  <c r="P4" i="1"/>
  <c r="Q4" i="1"/>
  <c r="Q5" i="1"/>
  <c r="P6" i="1"/>
  <c r="Q6" i="1"/>
  <c r="P7" i="1"/>
  <c r="Q7" i="1"/>
  <c r="P96" i="1"/>
  <c r="Q96" i="1"/>
  <c r="P98" i="1"/>
  <c r="Q98" i="1"/>
  <c r="Q99" i="1"/>
  <c r="P100" i="1"/>
  <c r="Q100" i="1"/>
  <c r="Q101" i="1"/>
  <c r="Q102" i="1"/>
  <c r="Q103" i="1"/>
  <c r="Q77" i="1"/>
  <c r="Q78" i="1"/>
  <c r="Q79" i="1"/>
  <c r="Q73" i="1"/>
  <c r="Q74" i="1"/>
  <c r="Q75" i="1"/>
  <c r="P76" i="1"/>
  <c r="Q76" i="1"/>
  <c r="Q67" i="1"/>
  <c r="P67" i="1"/>
  <c r="T88" i="1" l="1"/>
  <c r="U88" i="1" s="1"/>
  <c r="N105" i="1"/>
  <c r="O105" i="1" s="1"/>
  <c r="N107" i="1"/>
  <c r="O107" i="1" s="1"/>
  <c r="N113" i="1"/>
  <c r="O113" i="1" s="1"/>
  <c r="T89" i="1"/>
  <c r="U89" i="1" s="1"/>
  <c r="N95" i="1"/>
  <c r="O95" i="1" s="1"/>
  <c r="N94" i="1"/>
  <c r="O94" i="1" s="1"/>
  <c r="T91" i="1"/>
  <c r="U91" i="1" s="1"/>
  <c r="T90" i="1"/>
  <c r="U90" i="1" s="1"/>
  <c r="N85" i="1"/>
  <c r="O85" i="1" s="1"/>
  <c r="T84" i="1"/>
  <c r="U84" i="1" s="1"/>
  <c r="N92" i="1"/>
  <c r="O92" i="1" s="1"/>
  <c r="N80" i="1"/>
  <c r="O80" i="1" s="1"/>
  <c r="T83" i="1"/>
  <c r="U83" i="1" s="1"/>
  <c r="T105" i="1"/>
  <c r="U105" i="1" s="1"/>
  <c r="N81" i="1"/>
  <c r="O81" i="1" s="1"/>
  <c r="N82" i="1"/>
  <c r="O82" i="1" s="1"/>
  <c r="N110" i="1"/>
  <c r="O110" i="1" s="1"/>
  <c r="N87" i="1"/>
  <c r="O87" i="1" s="1"/>
  <c r="N83" i="1"/>
  <c r="O83" i="1" s="1"/>
  <c r="N89" i="1"/>
  <c r="O89" i="1" s="1"/>
  <c r="N93" i="1"/>
  <c r="O93" i="1" s="1"/>
  <c r="T82" i="1"/>
  <c r="U82" i="1" s="1"/>
  <c r="T94" i="1"/>
  <c r="U94" i="1" s="1"/>
  <c r="N86" i="1"/>
  <c r="O86" i="1" s="1"/>
  <c r="T107" i="1"/>
  <c r="U107" i="1" s="1"/>
  <c r="T87" i="1"/>
  <c r="U87" i="1" s="1"/>
  <c r="T106" i="1"/>
  <c r="U106" i="1" s="1"/>
  <c r="N106" i="1"/>
  <c r="O106" i="1" s="1"/>
  <c r="N91" i="1"/>
  <c r="O91" i="1" s="1"/>
  <c r="N108" i="1"/>
  <c r="O108" i="1" s="1"/>
  <c r="T92" i="1"/>
  <c r="U92" i="1" s="1"/>
  <c r="T86" i="1"/>
  <c r="U86" i="1" s="1"/>
  <c r="N84" i="1"/>
  <c r="O84" i="1" s="1"/>
  <c r="N104" i="1"/>
  <c r="O104" i="1" s="1"/>
  <c r="T95" i="1"/>
  <c r="U95" i="1" s="1"/>
  <c r="T85" i="1"/>
  <c r="U85" i="1" s="1"/>
  <c r="T81" i="1"/>
  <c r="U81" i="1" s="1"/>
  <c r="T80" i="1"/>
  <c r="U80" i="1" s="1"/>
  <c r="N109" i="1"/>
  <c r="O109" i="1" s="1"/>
  <c r="T110" i="1"/>
  <c r="U110" i="1" s="1"/>
  <c r="T108" i="1"/>
  <c r="U108" i="1" s="1"/>
  <c r="T112" i="1"/>
  <c r="U112" i="1" s="1"/>
  <c r="T109" i="1"/>
  <c r="U109" i="1" s="1"/>
  <c r="N112" i="1"/>
  <c r="O112" i="1" s="1"/>
  <c r="T111" i="1"/>
  <c r="U111" i="1" s="1"/>
  <c r="N111" i="1"/>
  <c r="O111" i="1" s="1"/>
  <c r="T113" i="1"/>
  <c r="U113" i="1" s="1"/>
  <c r="L76" i="1"/>
  <c r="R75" i="1"/>
  <c r="R103" i="1"/>
  <c r="R77" i="1"/>
  <c r="S78" i="1"/>
  <c r="R79" i="1"/>
  <c r="L73" i="1"/>
  <c r="S74" i="1"/>
  <c r="M102" i="1"/>
  <c r="M100" i="1"/>
  <c r="R99" i="1"/>
  <c r="L98" i="1"/>
  <c r="S97" i="1"/>
  <c r="M96" i="1"/>
  <c r="L102" i="1"/>
  <c r="L78" i="1"/>
  <c r="R98" i="1"/>
  <c r="S98" i="1"/>
  <c r="S99" i="1"/>
  <c r="L100" i="1"/>
  <c r="R100" i="1"/>
  <c r="S100" i="1"/>
  <c r="L101" i="1"/>
  <c r="M101" i="1"/>
  <c r="R101" i="1"/>
  <c r="S101" i="1"/>
  <c r="S3" i="1"/>
  <c r="R3" i="1"/>
  <c r="M3" i="1"/>
  <c r="L3" i="1"/>
  <c r="S4" i="1"/>
  <c r="R4" i="1"/>
  <c r="M4" i="1"/>
  <c r="L4" i="1"/>
  <c r="S5" i="1"/>
  <c r="R5" i="1"/>
  <c r="M5" i="1"/>
  <c r="L5" i="1"/>
  <c r="S6" i="1"/>
  <c r="R6" i="1"/>
  <c r="M6" i="1"/>
  <c r="L6" i="1"/>
  <c r="S7" i="1"/>
  <c r="R7" i="1"/>
  <c r="M7" i="1"/>
  <c r="L7" i="1"/>
  <c r="S15" i="1"/>
  <c r="R15" i="1"/>
  <c r="M15" i="1"/>
  <c r="L15" i="1"/>
  <c r="S16" i="1"/>
  <c r="R16" i="1"/>
  <c r="M16" i="1"/>
  <c r="L16" i="1"/>
  <c r="S17" i="1"/>
  <c r="R17" i="1"/>
  <c r="M17" i="1"/>
  <c r="L17" i="1"/>
  <c r="S18" i="1"/>
  <c r="R18" i="1"/>
  <c r="M18" i="1"/>
  <c r="L18" i="1"/>
  <c r="S19" i="1"/>
  <c r="R19" i="1"/>
  <c r="M19" i="1"/>
  <c r="L19" i="1"/>
  <c r="S2" i="1"/>
  <c r="R2" i="1"/>
  <c r="M2" i="1"/>
  <c r="L2" i="1"/>
  <c r="S25" i="1"/>
  <c r="R25" i="1"/>
  <c r="M25" i="1"/>
  <c r="L25" i="1"/>
  <c r="S26" i="1"/>
  <c r="R26" i="1"/>
  <c r="M26" i="1"/>
  <c r="L26" i="1"/>
  <c r="S27" i="1"/>
  <c r="R27" i="1"/>
  <c r="M27" i="1"/>
  <c r="L27" i="1"/>
  <c r="S28" i="1"/>
  <c r="R28" i="1"/>
  <c r="M28" i="1"/>
  <c r="L28" i="1"/>
  <c r="S29" i="1"/>
  <c r="R29" i="1"/>
  <c r="M29" i="1"/>
  <c r="L29" i="1"/>
  <c r="S14" i="1"/>
  <c r="R14" i="1"/>
  <c r="M14" i="1"/>
  <c r="L14" i="1"/>
  <c r="S32" i="1"/>
  <c r="R32" i="1"/>
  <c r="M32" i="1"/>
  <c r="L32" i="1"/>
  <c r="S33" i="1"/>
  <c r="R33" i="1"/>
  <c r="M33" i="1"/>
  <c r="L33" i="1"/>
  <c r="S34" i="1"/>
  <c r="R34" i="1"/>
  <c r="M34" i="1"/>
  <c r="L34" i="1"/>
  <c r="S35" i="1"/>
  <c r="R35" i="1"/>
  <c r="M35" i="1"/>
  <c r="L35" i="1"/>
  <c r="S36" i="1"/>
  <c r="R36" i="1"/>
  <c r="M36" i="1"/>
  <c r="L36" i="1"/>
  <c r="S24" i="1"/>
  <c r="R24" i="1"/>
  <c r="M24" i="1"/>
  <c r="L24" i="1"/>
  <c r="S39" i="1"/>
  <c r="R39" i="1"/>
  <c r="M39" i="1"/>
  <c r="L39" i="1"/>
  <c r="S40" i="1"/>
  <c r="R40" i="1"/>
  <c r="M40" i="1"/>
  <c r="L40" i="1"/>
  <c r="S41" i="1"/>
  <c r="R41" i="1"/>
  <c r="M41" i="1"/>
  <c r="L41" i="1"/>
  <c r="S42" i="1"/>
  <c r="R42" i="1"/>
  <c r="M42" i="1"/>
  <c r="L42" i="1"/>
  <c r="S30" i="1"/>
  <c r="R30" i="1"/>
  <c r="M30" i="1"/>
  <c r="L30" i="1"/>
  <c r="S31" i="1"/>
  <c r="R31" i="1"/>
  <c r="M31" i="1"/>
  <c r="L31" i="1"/>
  <c r="S45" i="1"/>
  <c r="R45" i="1"/>
  <c r="M45" i="1"/>
  <c r="L45" i="1"/>
  <c r="S46" i="1"/>
  <c r="R46" i="1"/>
  <c r="M46" i="1"/>
  <c r="L46" i="1"/>
  <c r="S47" i="1"/>
  <c r="R47" i="1"/>
  <c r="M47" i="1"/>
  <c r="L47" i="1"/>
  <c r="S48" i="1"/>
  <c r="R48" i="1"/>
  <c r="M48" i="1"/>
  <c r="L48" i="1"/>
  <c r="S37" i="1"/>
  <c r="R37" i="1"/>
  <c r="M37" i="1"/>
  <c r="L37" i="1"/>
  <c r="S38" i="1"/>
  <c r="R38" i="1"/>
  <c r="M38" i="1"/>
  <c r="L38" i="1"/>
  <c r="S10" i="1"/>
  <c r="R10" i="1"/>
  <c r="M10" i="1"/>
  <c r="L10" i="1"/>
  <c r="S11" i="1"/>
  <c r="R11" i="1"/>
  <c r="M11" i="1"/>
  <c r="L11" i="1"/>
  <c r="S12" i="1"/>
  <c r="R12" i="1"/>
  <c r="M12" i="1"/>
  <c r="L12" i="1"/>
  <c r="S13" i="1"/>
  <c r="R13" i="1"/>
  <c r="M13" i="1"/>
  <c r="L13" i="1"/>
  <c r="S43" i="1"/>
  <c r="R43" i="1"/>
  <c r="M43" i="1"/>
  <c r="L43" i="1"/>
  <c r="S44" i="1"/>
  <c r="R44" i="1"/>
  <c r="M44" i="1"/>
  <c r="L44" i="1"/>
  <c r="S20" i="1"/>
  <c r="R20" i="1"/>
  <c r="M20" i="1"/>
  <c r="L20" i="1"/>
  <c r="S21" i="1"/>
  <c r="R21" i="1"/>
  <c r="M21" i="1"/>
  <c r="L21" i="1"/>
  <c r="S22" i="1"/>
  <c r="R22" i="1"/>
  <c r="M22" i="1"/>
  <c r="L22" i="1"/>
  <c r="S23" i="1"/>
  <c r="R23" i="1"/>
  <c r="M23" i="1"/>
  <c r="L23" i="1"/>
  <c r="S8" i="1"/>
  <c r="R8" i="1"/>
  <c r="M8" i="1"/>
  <c r="L8" i="1"/>
  <c r="S9" i="1"/>
  <c r="R9" i="1"/>
  <c r="M9" i="1"/>
  <c r="L9" i="1"/>
  <c r="S49" i="1"/>
  <c r="R49" i="1"/>
  <c r="M49" i="1"/>
  <c r="L49" i="1"/>
  <c r="S50" i="1"/>
  <c r="R50" i="1"/>
  <c r="M50" i="1"/>
  <c r="L50" i="1"/>
  <c r="S51" i="1"/>
  <c r="R51" i="1"/>
  <c r="M51" i="1"/>
  <c r="L51" i="1"/>
  <c r="S52" i="1"/>
  <c r="R52" i="1"/>
  <c r="M52" i="1"/>
  <c r="L52" i="1"/>
  <c r="S53" i="1"/>
  <c r="R53" i="1"/>
  <c r="M53" i="1"/>
  <c r="L53" i="1"/>
  <c r="S54" i="1"/>
  <c r="R54" i="1"/>
  <c r="M54" i="1"/>
  <c r="L54" i="1"/>
  <c r="S55" i="1"/>
  <c r="R55" i="1"/>
  <c r="M55" i="1"/>
  <c r="L55" i="1"/>
  <c r="S56" i="1"/>
  <c r="R56" i="1"/>
  <c r="M56" i="1"/>
  <c r="L56" i="1"/>
  <c r="S57" i="1"/>
  <c r="R57" i="1"/>
  <c r="M57" i="1"/>
  <c r="L57" i="1"/>
  <c r="S58" i="1"/>
  <c r="R58" i="1"/>
  <c r="M58" i="1"/>
  <c r="L58" i="1"/>
  <c r="S59" i="1"/>
  <c r="R59" i="1"/>
  <c r="M59" i="1"/>
  <c r="L59" i="1"/>
  <c r="S60" i="1"/>
  <c r="R60" i="1"/>
  <c r="M60" i="1"/>
  <c r="L60" i="1"/>
  <c r="S61" i="1"/>
  <c r="R61" i="1"/>
  <c r="M61" i="1"/>
  <c r="L61" i="1"/>
  <c r="S62" i="1"/>
  <c r="R62" i="1"/>
  <c r="M62" i="1"/>
  <c r="L62" i="1"/>
  <c r="S63" i="1"/>
  <c r="R63" i="1"/>
  <c r="M63" i="1"/>
  <c r="L63" i="1"/>
  <c r="S64" i="1"/>
  <c r="R64" i="1"/>
  <c r="M64" i="1"/>
  <c r="L64" i="1"/>
  <c r="S65" i="1"/>
  <c r="R65" i="1"/>
  <c r="M65" i="1"/>
  <c r="L65" i="1"/>
  <c r="S66" i="1"/>
  <c r="R66" i="1"/>
  <c r="M66" i="1"/>
  <c r="L66" i="1"/>
  <c r="S67" i="1"/>
  <c r="R67" i="1"/>
  <c r="M67" i="1"/>
  <c r="L67" i="1"/>
  <c r="S68" i="1"/>
  <c r="R68" i="1"/>
  <c r="M68" i="1"/>
  <c r="L68" i="1"/>
  <c r="S69" i="1"/>
  <c r="R69" i="1"/>
  <c r="M69" i="1"/>
  <c r="L69" i="1"/>
  <c r="N69" i="1" s="1"/>
  <c r="O69" i="1" s="1"/>
  <c r="S70" i="1"/>
  <c r="R70" i="1"/>
  <c r="M70" i="1"/>
  <c r="L70" i="1"/>
  <c r="S71" i="1"/>
  <c r="R71" i="1"/>
  <c r="M71" i="1"/>
  <c r="L71" i="1"/>
  <c r="S72" i="1"/>
  <c r="R72" i="1"/>
  <c r="M72" i="1"/>
  <c r="L72" i="1"/>
  <c r="N28" i="1" l="1"/>
  <c r="O28" i="1" s="1"/>
  <c r="N70" i="1"/>
  <c r="O70" i="1" s="1"/>
  <c r="T67" i="1"/>
  <c r="U67" i="1" s="1"/>
  <c r="N63" i="1"/>
  <c r="O63" i="1" s="1"/>
  <c r="T53" i="1"/>
  <c r="U53" i="1" s="1"/>
  <c r="N49" i="1"/>
  <c r="O49" i="1" s="1"/>
  <c r="N44" i="1"/>
  <c r="O44" i="1" s="1"/>
  <c r="N37" i="1"/>
  <c r="O37" i="1" s="1"/>
  <c r="T46" i="1"/>
  <c r="U46" i="1" s="1"/>
  <c r="N42" i="1"/>
  <c r="O42" i="1" s="1"/>
  <c r="N34" i="1"/>
  <c r="O34" i="1" s="1"/>
  <c r="N26" i="1"/>
  <c r="O26" i="1" s="1"/>
  <c r="N100" i="1"/>
  <c r="O100" i="1" s="1"/>
  <c r="T70" i="1"/>
  <c r="U70" i="1" s="1"/>
  <c r="N66" i="1"/>
  <c r="O66" i="1" s="1"/>
  <c r="N59" i="1"/>
  <c r="O59" i="1" s="1"/>
  <c r="N52" i="1"/>
  <c r="O52" i="1" s="1"/>
  <c r="T49" i="1"/>
  <c r="U49" i="1" s="1"/>
  <c r="N22" i="1"/>
  <c r="O22" i="1" s="1"/>
  <c r="N11" i="1"/>
  <c r="O11" i="1" s="1"/>
  <c r="N24" i="1"/>
  <c r="O24" i="1" s="1"/>
  <c r="T34" i="1"/>
  <c r="U34" i="1" s="1"/>
  <c r="T26" i="1"/>
  <c r="U26" i="1" s="1"/>
  <c r="N18" i="1"/>
  <c r="O18" i="1" s="1"/>
  <c r="N29" i="1"/>
  <c r="O29" i="1" s="1"/>
  <c r="T100" i="1"/>
  <c r="U100" i="1" s="1"/>
  <c r="R78" i="1"/>
  <c r="T78" i="1" s="1"/>
  <c r="U78" i="1" s="1"/>
  <c r="M78" i="1"/>
  <c r="N78" i="1" s="1"/>
  <c r="O78" i="1" s="1"/>
  <c r="M98" i="1"/>
  <c r="N98" i="1" s="1"/>
  <c r="O98" i="1" s="1"/>
  <c r="R97" i="1"/>
  <c r="T97" i="1" s="1"/>
  <c r="U97" i="1" s="1"/>
  <c r="N102" i="1"/>
  <c r="O102" i="1" s="1"/>
  <c r="S102" i="1"/>
  <c r="L103" i="1"/>
  <c r="R102" i="1"/>
  <c r="M99" i="1"/>
  <c r="L99" i="1"/>
  <c r="T101" i="1"/>
  <c r="U101" i="1" s="1"/>
  <c r="M74" i="1"/>
  <c r="S73" i="1"/>
  <c r="M73" i="1"/>
  <c r="N73" i="1" s="1"/>
  <c r="O73" i="1" s="1"/>
  <c r="L96" i="1"/>
  <c r="N96" i="1" s="1"/>
  <c r="O96" i="1" s="1"/>
  <c r="M103" i="1"/>
  <c r="R74" i="1"/>
  <c r="T74" i="1" s="1"/>
  <c r="U74" i="1" s="1"/>
  <c r="L97" i="1"/>
  <c r="S103" i="1"/>
  <c r="T103" i="1" s="1"/>
  <c r="U103" i="1" s="1"/>
  <c r="M75" i="1"/>
  <c r="L75" i="1"/>
  <c r="R73" i="1"/>
  <c r="S75" i="1"/>
  <c r="T75" i="1" s="1"/>
  <c r="U75" i="1" s="1"/>
  <c r="M97" i="1"/>
  <c r="L77" i="1"/>
  <c r="N71" i="1"/>
  <c r="O71" i="1" s="1"/>
  <c r="N64" i="1"/>
  <c r="O64" i="1" s="1"/>
  <c r="N50" i="1"/>
  <c r="O50" i="1" s="1"/>
  <c r="N20" i="1"/>
  <c r="O20" i="1" s="1"/>
  <c r="N30" i="1"/>
  <c r="O30" i="1" s="1"/>
  <c r="N35" i="1"/>
  <c r="O35" i="1" s="1"/>
  <c r="N6" i="1"/>
  <c r="O6" i="1" s="1"/>
  <c r="S96" i="1"/>
  <c r="M79" i="1"/>
  <c r="T98" i="1"/>
  <c r="U98" i="1" s="1"/>
  <c r="N101" i="1"/>
  <c r="O101" i="1" s="1"/>
  <c r="S77" i="1"/>
  <c r="T77" i="1" s="1"/>
  <c r="U77" i="1" s="1"/>
  <c r="R76" i="1"/>
  <c r="M77" i="1"/>
  <c r="R96" i="1"/>
  <c r="L79" i="1"/>
  <c r="M76" i="1"/>
  <c r="N76" i="1" s="1"/>
  <c r="O76" i="1" s="1"/>
  <c r="L74" i="1"/>
  <c r="S76" i="1"/>
  <c r="N67" i="1"/>
  <c r="O67" i="1" s="1"/>
  <c r="N60" i="1"/>
  <c r="O60" i="1" s="1"/>
  <c r="N23" i="1"/>
  <c r="O23" i="1" s="1"/>
  <c r="N12" i="1"/>
  <c r="O12" i="1" s="1"/>
  <c r="N39" i="1"/>
  <c r="O39" i="1" s="1"/>
  <c r="N15" i="1"/>
  <c r="O15" i="1" s="1"/>
  <c r="T6" i="1"/>
  <c r="U6" i="1" s="1"/>
  <c r="T3" i="1"/>
  <c r="U3" i="1" s="1"/>
  <c r="T19" i="1"/>
  <c r="U19" i="1" s="1"/>
  <c r="T16" i="1"/>
  <c r="U16" i="1" s="1"/>
  <c r="T15" i="1"/>
  <c r="U15" i="1" s="1"/>
  <c r="T14" i="1"/>
  <c r="U14" i="1" s="1"/>
  <c r="T29" i="1"/>
  <c r="U29" i="1" s="1"/>
  <c r="T27" i="1"/>
  <c r="U27" i="1" s="1"/>
  <c r="T25" i="1"/>
  <c r="U25" i="1" s="1"/>
  <c r="T35" i="1"/>
  <c r="U35" i="1" s="1"/>
  <c r="T30" i="1"/>
  <c r="U30" i="1" s="1"/>
  <c r="T42" i="1"/>
  <c r="U42" i="1" s="1"/>
  <c r="T38" i="1"/>
  <c r="U38" i="1" s="1"/>
  <c r="T47" i="1"/>
  <c r="U47" i="1" s="1"/>
  <c r="T13" i="1"/>
  <c r="U13" i="1" s="1"/>
  <c r="T23" i="1"/>
  <c r="U23" i="1" s="1"/>
  <c r="T8" i="1"/>
  <c r="U8" i="1" s="1"/>
  <c r="T20" i="1"/>
  <c r="U20" i="1" s="1"/>
  <c r="T54" i="1"/>
  <c r="U54" i="1" s="1"/>
  <c r="T50" i="1"/>
  <c r="U50" i="1" s="1"/>
  <c r="T60" i="1"/>
  <c r="U60" i="1" s="1"/>
  <c r="T57" i="1"/>
  <c r="U57" i="1" s="1"/>
  <c r="T61" i="1"/>
  <c r="U61" i="1" s="1"/>
  <c r="S79" i="1"/>
  <c r="T79" i="1" s="1"/>
  <c r="U79" i="1" s="1"/>
  <c r="T99" i="1"/>
  <c r="U99" i="1" s="1"/>
  <c r="N32" i="1"/>
  <c r="O32" i="1" s="1"/>
  <c r="T2" i="1"/>
  <c r="N16" i="1"/>
  <c r="O16" i="1" s="1"/>
  <c r="N3" i="1"/>
  <c r="O3" i="1" s="1"/>
  <c r="T58" i="1"/>
  <c r="U58" i="1" s="1"/>
  <c r="T51" i="1"/>
  <c r="U51" i="1" s="1"/>
  <c r="T21" i="1"/>
  <c r="U21" i="1" s="1"/>
  <c r="N40" i="1"/>
  <c r="O40" i="1" s="1"/>
  <c r="T72" i="1"/>
  <c r="U72" i="1" s="1"/>
  <c r="N68" i="1"/>
  <c r="O68" i="1" s="1"/>
  <c r="T65" i="1"/>
  <c r="U65" i="1" s="1"/>
  <c r="N61" i="1"/>
  <c r="O61" i="1" s="1"/>
  <c r="N54" i="1"/>
  <c r="O54" i="1" s="1"/>
  <c r="N8" i="1"/>
  <c r="O8" i="1" s="1"/>
  <c r="N13" i="1"/>
  <c r="O13" i="1" s="1"/>
  <c r="T10" i="1"/>
  <c r="U10" i="1" s="1"/>
  <c r="N47" i="1"/>
  <c r="O47" i="1" s="1"/>
  <c r="T31" i="1"/>
  <c r="U31" i="1" s="1"/>
  <c r="T36" i="1"/>
  <c r="U36" i="1" s="1"/>
  <c r="N2" i="1"/>
  <c r="O2" i="1" s="1"/>
  <c r="T17" i="1"/>
  <c r="U17" i="1" s="1"/>
  <c r="N7" i="1"/>
  <c r="O7" i="1" s="1"/>
  <c r="T4" i="1"/>
  <c r="U4" i="1" s="1"/>
  <c r="T28" i="1"/>
  <c r="U28" i="1" s="1"/>
  <c r="T32" i="1"/>
  <c r="U32" i="1" s="1"/>
  <c r="N27" i="1"/>
  <c r="O27" i="1" s="1"/>
  <c r="T7" i="1"/>
  <c r="U7" i="1" s="1"/>
  <c r="T66" i="1"/>
  <c r="U66" i="1" s="1"/>
  <c r="N62" i="1"/>
  <c r="O62" i="1" s="1"/>
  <c r="T59" i="1"/>
  <c r="U59" i="1" s="1"/>
  <c r="N55" i="1"/>
  <c r="O55" i="1" s="1"/>
  <c r="T52" i="1"/>
  <c r="U52" i="1" s="1"/>
  <c r="N9" i="1"/>
  <c r="O9" i="1" s="1"/>
  <c r="N43" i="1"/>
  <c r="O43" i="1" s="1"/>
  <c r="N48" i="1"/>
  <c r="O48" i="1" s="1"/>
  <c r="T45" i="1"/>
  <c r="U45" i="1" s="1"/>
  <c r="N41" i="1"/>
  <c r="O41" i="1" s="1"/>
  <c r="T24" i="1"/>
  <c r="U24" i="1" s="1"/>
  <c r="N33" i="1"/>
  <c r="O33" i="1" s="1"/>
  <c r="T18" i="1"/>
  <c r="U18" i="1" s="1"/>
  <c r="T5" i="1"/>
  <c r="U5" i="1" s="1"/>
  <c r="T69" i="1"/>
  <c r="U69" i="1" s="1"/>
  <c r="N65" i="1"/>
  <c r="O65" i="1" s="1"/>
  <c r="T62" i="1"/>
  <c r="U62" i="1" s="1"/>
  <c r="N58" i="1"/>
  <c r="O58" i="1" s="1"/>
  <c r="T55" i="1"/>
  <c r="U55" i="1" s="1"/>
  <c r="N51" i="1"/>
  <c r="O51" i="1" s="1"/>
  <c r="N21" i="1"/>
  <c r="O21" i="1" s="1"/>
  <c r="N10" i="1"/>
  <c r="O10" i="1" s="1"/>
  <c r="T48" i="1"/>
  <c r="U48" i="1" s="1"/>
  <c r="N31" i="1"/>
  <c r="O31" i="1" s="1"/>
  <c r="T41" i="1"/>
  <c r="U41" i="1" s="1"/>
  <c r="N36" i="1"/>
  <c r="O36" i="1" s="1"/>
  <c r="N17" i="1"/>
  <c r="O17" i="1" s="1"/>
  <c r="N4" i="1"/>
  <c r="O4" i="1" s="1"/>
  <c r="N72" i="1"/>
  <c r="O72" i="1" s="1"/>
  <c r="T63" i="1"/>
  <c r="U63" i="1" s="1"/>
  <c r="N56" i="1"/>
  <c r="O56" i="1" s="1"/>
  <c r="N53" i="1"/>
  <c r="O53" i="1" s="1"/>
  <c r="T43" i="1"/>
  <c r="U43" i="1" s="1"/>
  <c r="T11" i="1"/>
  <c r="U11" i="1" s="1"/>
  <c r="N45" i="1"/>
  <c r="O45" i="1" s="1"/>
  <c r="T39" i="1"/>
  <c r="U39" i="1" s="1"/>
  <c r="N14" i="1"/>
  <c r="O14" i="1" s="1"/>
  <c r="N19" i="1"/>
  <c r="O19" i="1" s="1"/>
  <c r="T71" i="1"/>
  <c r="U71" i="1" s="1"/>
  <c r="T68" i="1"/>
  <c r="U68" i="1" s="1"/>
  <c r="N38" i="1"/>
  <c r="O38" i="1" s="1"/>
  <c r="T33" i="1"/>
  <c r="U33" i="1" s="1"/>
  <c r="N25" i="1"/>
  <c r="O25" i="1" s="1"/>
  <c r="N5" i="1"/>
  <c r="O5" i="1" s="1"/>
  <c r="T64" i="1"/>
  <c r="U64" i="1" s="1"/>
  <c r="N57" i="1"/>
  <c r="O57" i="1" s="1"/>
  <c r="T9" i="1"/>
  <c r="U9" i="1" s="1"/>
  <c r="T22" i="1"/>
  <c r="U22" i="1" s="1"/>
  <c r="T44" i="1"/>
  <c r="U44" i="1" s="1"/>
  <c r="T12" i="1"/>
  <c r="U12" i="1" s="1"/>
  <c r="N46" i="1"/>
  <c r="O46" i="1" s="1"/>
  <c r="T40" i="1"/>
  <c r="U40" i="1" s="1"/>
  <c r="T56" i="1"/>
  <c r="U56" i="1" s="1"/>
  <c r="T37" i="1"/>
  <c r="U37" i="1" s="1"/>
  <c r="N99" i="1" l="1"/>
  <c r="O99" i="1" s="1"/>
  <c r="N75" i="1"/>
  <c r="O75" i="1" s="1"/>
  <c r="N79" i="1"/>
  <c r="O79" i="1" s="1"/>
  <c r="T73" i="1"/>
  <c r="U73" i="1" s="1"/>
  <c r="N97" i="1"/>
  <c r="O97" i="1" s="1"/>
  <c r="N74" i="1"/>
  <c r="O74" i="1" s="1"/>
  <c r="T102" i="1"/>
  <c r="U102" i="1" s="1"/>
  <c r="N103" i="1"/>
  <c r="O103" i="1" s="1"/>
  <c r="N77" i="1"/>
  <c r="O77" i="1" s="1"/>
  <c r="T76" i="1"/>
  <c r="U76" i="1" s="1"/>
  <c r="T96" i="1"/>
  <c r="U96" i="1" s="1"/>
</calcChain>
</file>

<file path=xl/sharedStrings.xml><?xml version="1.0" encoding="utf-8"?>
<sst xmlns="http://schemas.openxmlformats.org/spreadsheetml/2006/main" count="1488" uniqueCount="122">
  <si>
    <t>Boornummer</t>
  </si>
  <si>
    <t>lab nummer</t>
  </si>
  <si>
    <t>X</t>
  </si>
  <si>
    <t>Y</t>
  </si>
  <si>
    <t>Z</t>
  </si>
  <si>
    <t>vak</t>
  </si>
  <si>
    <t>monster nummer</t>
  </si>
  <si>
    <t>nummer_diepte</t>
  </si>
  <si>
    <t xml:space="preserve">Van </t>
  </si>
  <si>
    <t>Tot</t>
  </si>
  <si>
    <t>Van_LAT</t>
  </si>
  <si>
    <t>Tot_LAT</t>
  </si>
  <si>
    <t>grind (&gt; 2 mm)</t>
  </si>
  <si>
    <t>zand (0.063 - 2 mm)</t>
  </si>
  <si>
    <t>silt+klei (&lt; 0.063 mm)</t>
  </si>
  <si>
    <t>63calculated. zonder zoutcorrectie</t>
  </si>
  <si>
    <t>63calculated. met zoutcorrectie</t>
  </si>
  <si>
    <t>63standaard. zonder zoutcorrectie</t>
  </si>
  <si>
    <t>63standaard. met zoutcorrectie</t>
  </si>
  <si>
    <t>d60 / d10</t>
  </si>
  <si>
    <t>d10</t>
  </si>
  <si>
    <t>d15</t>
  </si>
  <si>
    <t>d60</t>
  </si>
  <si>
    <t>d70</t>
  </si>
  <si>
    <t>D60 / D10</t>
  </si>
  <si>
    <t>D10</t>
  </si>
  <si>
    <t>D15</t>
  </si>
  <si>
    <t>D60</t>
  </si>
  <si>
    <t>D70</t>
  </si>
  <si>
    <t>M63</t>
  </si>
  <si>
    <t>Traject_van</t>
  </si>
  <si>
    <t>Traject_tot</t>
  </si>
  <si>
    <t>Tra_van_lat</t>
  </si>
  <si>
    <t>Tra_tot_lat</t>
  </si>
  <si>
    <t>DINO</t>
  </si>
  <si>
    <t>middle_lat</t>
  </si>
  <si>
    <t>MID_LAT</t>
  </si>
  <si>
    <t>mon_mid_lat</t>
  </si>
  <si>
    <t>mon_mid_lat_ron</t>
  </si>
  <si>
    <t>d50</t>
  </si>
  <si>
    <t>Aantal van 63calculated. met zoutcorrectie</t>
  </si>
  <si>
    <t>Aantal van d50</t>
  </si>
  <si>
    <t>Gemiddelde van 63calculated. met zoutcorrectie</t>
  </si>
  <si>
    <t>Gemiddelde van d50</t>
  </si>
  <si>
    <t>Rijlabels</t>
  </si>
  <si>
    <t>Eindtotaal</t>
  </si>
  <si>
    <t>Min van d50</t>
  </si>
  <si>
    <t>Max van d50</t>
  </si>
  <si>
    <t>Min van 63calculated. met zoutcorrectie</t>
  </si>
  <si>
    <t>Max van 63calculated. met zoutcorrectie2</t>
  </si>
  <si>
    <t>Totalen gehele dieptebereik</t>
  </si>
  <si>
    <t xml:space="preserve">Gemiddelde van Van </t>
  </si>
  <si>
    <t>Gemiddelde van Tot</t>
  </si>
  <si>
    <t>21.5-22.5</t>
  </si>
  <si>
    <t>22.5-23.5</t>
  </si>
  <si>
    <t>23.5-24.5</t>
  </si>
  <si>
    <t>24.5-25.5</t>
  </si>
  <si>
    <t>(Alle)</t>
  </si>
  <si>
    <t>M001</t>
  </si>
  <si>
    <t>M002</t>
  </si>
  <si>
    <t>M003</t>
  </si>
  <si>
    <t>M005</t>
  </si>
  <si>
    <t>M006</t>
  </si>
  <si>
    <t>M004</t>
  </si>
  <si>
    <t>(leeg)</t>
  </si>
  <si>
    <t>M000</t>
  </si>
  <si>
    <t>Aantal van nummer_diepte</t>
  </si>
  <si>
    <t>20.5-21.5</t>
  </si>
  <si>
    <t>25.5-26.5</t>
  </si>
  <si>
    <t>26.5-27.5</t>
  </si>
  <si>
    <t>27.5-28.5</t>
  </si>
  <si>
    <t>28.5-29.5</t>
  </si>
  <si>
    <t>29.5-30.5</t>
  </si>
  <si>
    <t>30.5-31.5</t>
  </si>
  <si>
    <t>31.5-32.5</t>
  </si>
  <si>
    <t>32.5-33.5</t>
  </si>
  <si>
    <t>33.5-34.5</t>
  </si>
  <si>
    <t>VC201</t>
  </si>
  <si>
    <t>VC202</t>
  </si>
  <si>
    <t>VC203</t>
  </si>
  <si>
    <t>VC204</t>
  </si>
  <si>
    <t>VC205</t>
  </si>
  <si>
    <t>VC206</t>
  </si>
  <si>
    <t>VC207</t>
  </si>
  <si>
    <t>VC208</t>
  </si>
  <si>
    <t>VC209</t>
  </si>
  <si>
    <t>VC210</t>
  </si>
  <si>
    <t>VC211</t>
  </si>
  <si>
    <t>VC212</t>
  </si>
  <si>
    <t>VC213</t>
  </si>
  <si>
    <t>VC214</t>
  </si>
  <si>
    <t>VC215</t>
  </si>
  <si>
    <t>VC216</t>
  </si>
  <si>
    <t>VC217</t>
  </si>
  <si>
    <t>VC_Q5-H_01</t>
  </si>
  <si>
    <t>VC_Q5-H_02</t>
  </si>
  <si>
    <t>VC_Q5-H_03</t>
  </si>
  <si>
    <t>VC_Q5-H_04</t>
  </si>
  <si>
    <t>VC_Q5-H_05</t>
  </si>
  <si>
    <t>VC_Q5-H_06</t>
  </si>
  <si>
    <t>VC_Q5-H_07</t>
  </si>
  <si>
    <t>VC_Q5-H_08</t>
  </si>
  <si>
    <t>VC_Q5-H_09</t>
  </si>
  <si>
    <t>VC_Q5-H_10</t>
  </si>
  <si>
    <t>VC_Q5-H_11</t>
  </si>
  <si>
    <t>VC_Q5-H_12</t>
  </si>
  <si>
    <t>VC_Q5-H_13</t>
  </si>
  <si>
    <t>VC_Q5-H_14</t>
  </si>
  <si>
    <t>VC_Q5-H_15</t>
  </si>
  <si>
    <t>VC_Q5-H_16</t>
  </si>
  <si>
    <t>VC_Q5-H_17</t>
  </si>
  <si>
    <t>S1</t>
  </si>
  <si>
    <t>S2</t>
  </si>
  <si>
    <t>S3</t>
  </si>
  <si>
    <t>S5A</t>
  </si>
  <si>
    <t>S5B</t>
  </si>
  <si>
    <t>S4</t>
  </si>
  <si>
    <t>S5</t>
  </si>
  <si>
    <t>S6</t>
  </si>
  <si>
    <t>S4A</t>
  </si>
  <si>
    <t>S4B</t>
  </si>
  <si>
    <t>BQ050701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</si>
</sst>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000"/>
    <numFmt numFmtId="167" formatCode="0.0"/>
    <numFmt numFmtId="168" formatCode="#,##0.0000"/>
    <numFmt numFmtId="169" formatCode="#,##0.000"/>
  </numFmts>
  <fonts count="2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Univers 55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Univers 55"/>
      <family val="2"/>
    </font>
    <font>
      <sz val="10"/>
      <name val="Robo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8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16" fillId="33" borderId="10" xfId="0" applyNumberFormat="1" applyFont="1" applyFill="1" applyBorder="1"/>
    <xf numFmtId="165" fontId="16" fillId="33" borderId="10" xfId="0" applyNumberFormat="1" applyFont="1" applyFill="1" applyBorder="1"/>
    <xf numFmtId="0" fontId="0" fillId="0" borderId="0" xfId="0" applyAlignment="1">
      <alignment vertical="center"/>
    </xf>
    <xf numFmtId="1" fontId="19" fillId="0" borderId="0" xfId="42" applyNumberFormat="1" applyFont="1" applyAlignment="1">
      <alignment horizontal="center" vertical="center" wrapText="1"/>
    </xf>
    <xf numFmtId="167" fontId="19" fillId="0" borderId="0" xfId="42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16" fillId="33" borderId="10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3" fillId="0" borderId="0" xfId="0" applyFont="1"/>
    <xf numFmtId="4" fontId="23" fillId="0" borderId="0" xfId="0" applyNumberFormat="1" applyFont="1"/>
    <xf numFmtId="168" fontId="23" fillId="0" borderId="0" xfId="0" applyNumberFormat="1" applyFont="1"/>
    <xf numFmtId="168" fontId="0" fillId="0" borderId="0" xfId="0" applyNumberFormat="1"/>
    <xf numFmtId="0" fontId="24" fillId="0" borderId="0" xfId="0" applyFont="1"/>
    <xf numFmtId="0" fontId="25" fillId="0" borderId="0" xfId="0" applyFont="1"/>
    <xf numFmtId="4" fontId="0" fillId="0" borderId="0" xfId="0" applyNumberFormat="1"/>
    <xf numFmtId="169" fontId="23" fillId="0" borderId="0" xfId="0" applyNumberFormat="1" applyFont="1"/>
    <xf numFmtId="0" fontId="26" fillId="0" borderId="0" xfId="0" applyFont="1"/>
    <xf numFmtId="0" fontId="16" fillId="33" borderId="10" xfId="0" applyFont="1" applyFill="1" applyBorder="1"/>
    <xf numFmtId="0" fontId="27" fillId="0" borderId="0" xfId="0" applyFont="1"/>
    <xf numFmtId="1" fontId="27" fillId="0" borderId="0" xfId="0" applyNumberFormat="1" applyFont="1"/>
    <xf numFmtId="4" fontId="27" fillId="0" borderId="0" xfId="0" applyNumberFormat="1" applyFont="1"/>
    <xf numFmtId="168" fontId="27" fillId="0" borderId="11" xfId="0" applyNumberFormat="1" applyFont="1" applyBorder="1"/>
    <xf numFmtId="168" fontId="27" fillId="0" borderId="0" xfId="0" applyNumberFormat="1" applyFont="1"/>
    <xf numFmtId="4" fontId="27" fillId="0" borderId="11" xfId="0" applyNumberFormat="1" applyFont="1" applyBorder="1"/>
    <xf numFmtId="0" fontId="0" fillId="0" borderId="0" xfId="0" applyNumberFormat="1"/>
    <xf numFmtId="0" fontId="16" fillId="33" borderId="10" xfId="0" applyNumberFormat="1" applyFont="1" applyFill="1" applyBorder="1"/>
    <xf numFmtId="0" fontId="0" fillId="0" borderId="0" xfId="0" applyFill="1" applyAlignment="1">
      <alignment vertical="center"/>
    </xf>
    <xf numFmtId="0" fontId="0" fillId="0" borderId="0" xfId="0" applyFill="1"/>
    <xf numFmtId="0" fontId="2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7" fontId="19" fillId="0" borderId="0" xfId="42" applyNumberFormat="1" applyFont="1" applyFill="1" applyAlignment="1">
      <alignment horizontal="center" vertical="center" wrapText="1"/>
    </xf>
    <xf numFmtId="1" fontId="19" fillId="0" borderId="0" xfId="42" applyNumberFormat="1" applyFont="1" applyFill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/>
    </xf>
    <xf numFmtId="1" fontId="20" fillId="0" borderId="0" xfId="0" applyNumberFormat="1" applyFont="1" applyFill="1" applyAlignment="1">
      <alignment horizontal="center" vertical="center"/>
    </xf>
    <xf numFmtId="168" fontId="23" fillId="0" borderId="0" xfId="0" applyNumberFormat="1" applyFont="1" applyFill="1"/>
    <xf numFmtId="168" fontId="0" fillId="0" borderId="0" xfId="0" applyNumberFormat="1" applyFill="1"/>
    <xf numFmtId="0" fontId="0" fillId="0" borderId="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Standaard 4" xfId="42" xr:uid="{81135F07-DB0E-DF4F-9C45-BB7DD4C14E27}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22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5" formatCode="0.000"/>
    </dxf>
    <dxf>
      <numFmt numFmtId="164" formatCode="0.0000"/>
    </dxf>
    <dxf>
      <numFmt numFmtId="2" formatCode="0.00"/>
    </dxf>
    <dxf>
      <numFmt numFmtId="165" formatCode="0.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%</a:t>
            </a:r>
            <a:r>
              <a:rPr lang="nl-NL" baseline="0"/>
              <a:t> &lt;0.063mm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7.9542446146395704E-2"/>
          <c:y val="0.11246794871794871"/>
          <c:w val="0.88401108460531275"/>
          <c:h val="0.77254769836462744"/>
        </c:manualLayout>
      </c:layout>
      <c:barChart>
        <c:barDir val="col"/>
        <c:grouping val="clustered"/>
        <c:varyColors val="0"/>
        <c:ser>
          <c:idx val="0"/>
          <c:order val="0"/>
          <c:tx>
            <c:v>Gemiddelde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draaioutput!$A$67:$A$78</c:f>
              <c:strCache>
                <c:ptCount val="12"/>
                <c:pt idx="0">
                  <c:v>22.5-23.5</c:v>
                </c:pt>
                <c:pt idx="1">
                  <c:v>23.5-24.5</c:v>
                </c:pt>
                <c:pt idx="2">
                  <c:v>24.5-25.5</c:v>
                </c:pt>
                <c:pt idx="3">
                  <c:v>25.5-26.5</c:v>
                </c:pt>
                <c:pt idx="4">
                  <c:v>26.5-27.5</c:v>
                </c:pt>
                <c:pt idx="5">
                  <c:v>27.5-28.5</c:v>
                </c:pt>
                <c:pt idx="6">
                  <c:v>28.5-29.5</c:v>
                </c:pt>
                <c:pt idx="7">
                  <c:v>29.5-30.5</c:v>
                </c:pt>
                <c:pt idx="8">
                  <c:v>30.5-31.5</c:v>
                </c:pt>
                <c:pt idx="9">
                  <c:v>31.5-32.5</c:v>
                </c:pt>
                <c:pt idx="10">
                  <c:v>32.5-33.5</c:v>
                </c:pt>
                <c:pt idx="11">
                  <c:v>33.5-34.5</c:v>
                </c:pt>
              </c:strCache>
            </c:strRef>
          </c:cat>
          <c:val>
            <c:numRef>
              <c:f>draaioutput!$B$67:$B$78</c:f>
              <c:numCache>
                <c:formatCode>0.00</c:formatCode>
                <c:ptCount val="12"/>
                <c:pt idx="0">
                  <c:v>0.58000000000000007</c:v>
                </c:pt>
                <c:pt idx="1">
                  <c:v>0.94499999999999995</c:v>
                </c:pt>
                <c:pt idx="2">
                  <c:v>0.78666666666666696</c:v>
                </c:pt>
                <c:pt idx="3">
                  <c:v>0.77157894736842114</c:v>
                </c:pt>
                <c:pt idx="4">
                  <c:v>0.70529411764705874</c:v>
                </c:pt>
                <c:pt idx="5">
                  <c:v>0.61142857142857143</c:v>
                </c:pt>
                <c:pt idx="6">
                  <c:v>0.44312499999999994</c:v>
                </c:pt>
                <c:pt idx="7">
                  <c:v>0.39125000000000004</c:v>
                </c:pt>
                <c:pt idx="8">
                  <c:v>0.41000000000000003</c:v>
                </c:pt>
                <c:pt idx="10">
                  <c:v>0.37999999999999995</c:v>
                </c:pt>
                <c:pt idx="11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3-1644-BFD1-298FB1370A60}"/>
            </c:ext>
          </c:extLst>
        </c:ser>
        <c:ser>
          <c:idx val="1"/>
          <c:order val="1"/>
          <c:tx>
            <c:v>Minimum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draaioutput!$A$67:$A$78</c:f>
              <c:strCache>
                <c:ptCount val="12"/>
                <c:pt idx="0">
                  <c:v>22.5-23.5</c:v>
                </c:pt>
                <c:pt idx="1">
                  <c:v>23.5-24.5</c:v>
                </c:pt>
                <c:pt idx="2">
                  <c:v>24.5-25.5</c:v>
                </c:pt>
                <c:pt idx="3">
                  <c:v>25.5-26.5</c:v>
                </c:pt>
                <c:pt idx="4">
                  <c:v>26.5-27.5</c:v>
                </c:pt>
                <c:pt idx="5">
                  <c:v>27.5-28.5</c:v>
                </c:pt>
                <c:pt idx="6">
                  <c:v>28.5-29.5</c:v>
                </c:pt>
                <c:pt idx="7">
                  <c:v>29.5-30.5</c:v>
                </c:pt>
                <c:pt idx="8">
                  <c:v>30.5-31.5</c:v>
                </c:pt>
                <c:pt idx="9">
                  <c:v>31.5-32.5</c:v>
                </c:pt>
                <c:pt idx="10">
                  <c:v>32.5-33.5</c:v>
                </c:pt>
                <c:pt idx="11">
                  <c:v>33.5-34.5</c:v>
                </c:pt>
              </c:strCache>
            </c:strRef>
          </c:cat>
          <c:val>
            <c:numRef>
              <c:f>draaioutput!$C$67:$C$78</c:f>
              <c:numCache>
                <c:formatCode>0.00</c:formatCode>
                <c:ptCount val="12"/>
                <c:pt idx="0">
                  <c:v>0.54</c:v>
                </c:pt>
                <c:pt idx="1">
                  <c:v>0.38</c:v>
                </c:pt>
                <c:pt idx="2">
                  <c:v>0.41</c:v>
                </c:pt>
                <c:pt idx="3">
                  <c:v>0.25</c:v>
                </c:pt>
                <c:pt idx="4">
                  <c:v>0.24</c:v>
                </c:pt>
                <c:pt idx="5">
                  <c:v>0.28999999999999998</c:v>
                </c:pt>
                <c:pt idx="6">
                  <c:v>0.17</c:v>
                </c:pt>
                <c:pt idx="7">
                  <c:v>0.25</c:v>
                </c:pt>
                <c:pt idx="8">
                  <c:v>0.24</c:v>
                </c:pt>
                <c:pt idx="10">
                  <c:v>0.28999999999999998</c:v>
                </c:pt>
                <c:pt idx="11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3-1644-BFD1-298FB1370A60}"/>
            </c:ext>
          </c:extLst>
        </c:ser>
        <c:ser>
          <c:idx val="2"/>
          <c:order val="2"/>
          <c:tx>
            <c:v>Maximum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draaioutput!$A$67:$A$78</c:f>
              <c:strCache>
                <c:ptCount val="12"/>
                <c:pt idx="0">
                  <c:v>22.5-23.5</c:v>
                </c:pt>
                <c:pt idx="1">
                  <c:v>23.5-24.5</c:v>
                </c:pt>
                <c:pt idx="2">
                  <c:v>24.5-25.5</c:v>
                </c:pt>
                <c:pt idx="3">
                  <c:v>25.5-26.5</c:v>
                </c:pt>
                <c:pt idx="4">
                  <c:v>26.5-27.5</c:v>
                </c:pt>
                <c:pt idx="5">
                  <c:v>27.5-28.5</c:v>
                </c:pt>
                <c:pt idx="6">
                  <c:v>28.5-29.5</c:v>
                </c:pt>
                <c:pt idx="7">
                  <c:v>29.5-30.5</c:v>
                </c:pt>
                <c:pt idx="8">
                  <c:v>30.5-31.5</c:v>
                </c:pt>
                <c:pt idx="9">
                  <c:v>31.5-32.5</c:v>
                </c:pt>
                <c:pt idx="10">
                  <c:v>32.5-33.5</c:v>
                </c:pt>
                <c:pt idx="11">
                  <c:v>33.5-34.5</c:v>
                </c:pt>
              </c:strCache>
            </c:strRef>
          </c:cat>
          <c:val>
            <c:numRef>
              <c:f>draaioutput!$D$67:$D$78</c:f>
              <c:numCache>
                <c:formatCode>0.00</c:formatCode>
                <c:ptCount val="12"/>
                <c:pt idx="0">
                  <c:v>0.6</c:v>
                </c:pt>
                <c:pt idx="1">
                  <c:v>1.98</c:v>
                </c:pt>
                <c:pt idx="2">
                  <c:v>1.84</c:v>
                </c:pt>
                <c:pt idx="3">
                  <c:v>2.5099999999999998</c:v>
                </c:pt>
                <c:pt idx="4">
                  <c:v>2.09</c:v>
                </c:pt>
                <c:pt idx="5">
                  <c:v>2.57</c:v>
                </c:pt>
                <c:pt idx="6">
                  <c:v>0.81</c:v>
                </c:pt>
                <c:pt idx="7">
                  <c:v>0.57999999999999996</c:v>
                </c:pt>
                <c:pt idx="8">
                  <c:v>0.76</c:v>
                </c:pt>
                <c:pt idx="10">
                  <c:v>0.43</c:v>
                </c:pt>
                <c:pt idx="11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3-1644-BFD1-298FB1370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319103"/>
        <c:axId val="1326320751"/>
      </c:barChart>
      <c:catAx>
        <c:axId val="132631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000" b="0" i="0" baseline="0">
                    <a:effectLst/>
                  </a:rPr>
                  <a:t>Diepte in m tov LAT</a:t>
                </a:r>
                <a:endParaRPr lang="nl-NL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25886314349338496"/>
              <c:y val="0.959425370541917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6320751"/>
        <c:crosses val="autoZero"/>
        <c:auto val="1"/>
        <c:lblAlgn val="ctr"/>
        <c:lblOffset val="100"/>
        <c:noMultiLvlLbl val="0"/>
      </c:catAx>
      <c:valAx>
        <c:axId val="132632075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% &lt; 0.063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63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783559171554577"/>
          <c:y val="0.95978838582677162"/>
          <c:w val="0.326140131282111"/>
          <c:h val="3.1020437702640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d50</a:t>
            </a:r>
            <a:r>
              <a:rPr lang="nl-NL" baseline="0"/>
              <a:t> (mm)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Gemiddelde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draaioutput!$A$67:$A$78</c:f>
              <c:strCache>
                <c:ptCount val="12"/>
                <c:pt idx="0">
                  <c:v>22.5-23.5</c:v>
                </c:pt>
                <c:pt idx="1">
                  <c:v>23.5-24.5</c:v>
                </c:pt>
                <c:pt idx="2">
                  <c:v>24.5-25.5</c:v>
                </c:pt>
                <c:pt idx="3">
                  <c:v>25.5-26.5</c:v>
                </c:pt>
                <c:pt idx="4">
                  <c:v>26.5-27.5</c:v>
                </c:pt>
                <c:pt idx="5">
                  <c:v>27.5-28.5</c:v>
                </c:pt>
                <c:pt idx="6">
                  <c:v>28.5-29.5</c:v>
                </c:pt>
                <c:pt idx="7">
                  <c:v>29.5-30.5</c:v>
                </c:pt>
                <c:pt idx="8">
                  <c:v>30.5-31.5</c:v>
                </c:pt>
                <c:pt idx="9">
                  <c:v>31.5-32.5</c:v>
                </c:pt>
                <c:pt idx="10">
                  <c:v>32.5-33.5</c:v>
                </c:pt>
                <c:pt idx="11">
                  <c:v>33.5-34.5</c:v>
                </c:pt>
              </c:strCache>
            </c:strRef>
          </c:cat>
          <c:val>
            <c:numRef>
              <c:f>draaioutput!$F$67:$F$78</c:f>
              <c:numCache>
                <c:formatCode>0.00</c:formatCode>
                <c:ptCount val="12"/>
                <c:pt idx="0">
                  <c:v>0.32</c:v>
                </c:pt>
                <c:pt idx="1">
                  <c:v>0.22136666666666668</c:v>
                </c:pt>
                <c:pt idx="2">
                  <c:v>0.2271285714285714</c:v>
                </c:pt>
                <c:pt idx="3">
                  <c:v>0.24556315789473682</c:v>
                </c:pt>
                <c:pt idx="4">
                  <c:v>0.24583529411764704</c:v>
                </c:pt>
                <c:pt idx="5">
                  <c:v>0.24795714285714285</c:v>
                </c:pt>
                <c:pt idx="6">
                  <c:v>0.27683125000000003</c:v>
                </c:pt>
                <c:pt idx="7">
                  <c:v>0.32147500000000001</c:v>
                </c:pt>
                <c:pt idx="8">
                  <c:v>0.32529999999999998</c:v>
                </c:pt>
                <c:pt idx="10">
                  <c:v>0.35186666666666672</c:v>
                </c:pt>
                <c:pt idx="11">
                  <c:v>0.29970000000000002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A-2742-8E35-CBF9968E34B4}"/>
            </c:ext>
          </c:extLst>
        </c:ser>
        <c:ser>
          <c:idx val="1"/>
          <c:order val="1"/>
          <c:tx>
            <c:v>Minimum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draaioutput!$A$67:$A$78</c:f>
              <c:strCache>
                <c:ptCount val="12"/>
                <c:pt idx="0">
                  <c:v>22.5-23.5</c:v>
                </c:pt>
                <c:pt idx="1">
                  <c:v>23.5-24.5</c:v>
                </c:pt>
                <c:pt idx="2">
                  <c:v>24.5-25.5</c:v>
                </c:pt>
                <c:pt idx="3">
                  <c:v>25.5-26.5</c:v>
                </c:pt>
                <c:pt idx="4">
                  <c:v>26.5-27.5</c:v>
                </c:pt>
                <c:pt idx="5">
                  <c:v>27.5-28.5</c:v>
                </c:pt>
                <c:pt idx="6">
                  <c:v>28.5-29.5</c:v>
                </c:pt>
                <c:pt idx="7">
                  <c:v>29.5-30.5</c:v>
                </c:pt>
                <c:pt idx="8">
                  <c:v>30.5-31.5</c:v>
                </c:pt>
                <c:pt idx="9">
                  <c:v>31.5-32.5</c:v>
                </c:pt>
                <c:pt idx="10">
                  <c:v>32.5-33.5</c:v>
                </c:pt>
                <c:pt idx="11">
                  <c:v>33.5-34.5</c:v>
                </c:pt>
              </c:strCache>
            </c:strRef>
          </c:cat>
          <c:val>
            <c:numRef>
              <c:f>draaioutput!$G$67:$G$78</c:f>
              <c:numCache>
                <c:formatCode>0.00</c:formatCode>
                <c:ptCount val="12"/>
                <c:pt idx="0">
                  <c:v>0.2697</c:v>
                </c:pt>
                <c:pt idx="1">
                  <c:v>0.20530000000000001</c:v>
                </c:pt>
                <c:pt idx="2">
                  <c:v>0.1825</c:v>
                </c:pt>
                <c:pt idx="3">
                  <c:v>0.14660000000000001</c:v>
                </c:pt>
                <c:pt idx="4">
                  <c:v>0.14799999999999999</c:v>
                </c:pt>
                <c:pt idx="5">
                  <c:v>0.1492</c:v>
                </c:pt>
                <c:pt idx="6">
                  <c:v>0.15790000000000001</c:v>
                </c:pt>
                <c:pt idx="7">
                  <c:v>0.2616</c:v>
                </c:pt>
                <c:pt idx="8">
                  <c:v>0.29360000000000003</c:v>
                </c:pt>
                <c:pt idx="10">
                  <c:v>0.33829999999999999</c:v>
                </c:pt>
                <c:pt idx="11">
                  <c:v>0.29970000000000002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A-2742-8E35-CBF9968E34B4}"/>
            </c:ext>
          </c:extLst>
        </c:ser>
        <c:ser>
          <c:idx val="2"/>
          <c:order val="2"/>
          <c:tx>
            <c:v>Maximum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draaioutput!$A$67:$A$78</c:f>
              <c:strCache>
                <c:ptCount val="12"/>
                <c:pt idx="0">
                  <c:v>22.5-23.5</c:v>
                </c:pt>
                <c:pt idx="1">
                  <c:v>23.5-24.5</c:v>
                </c:pt>
                <c:pt idx="2">
                  <c:v>24.5-25.5</c:v>
                </c:pt>
                <c:pt idx="3">
                  <c:v>25.5-26.5</c:v>
                </c:pt>
                <c:pt idx="4">
                  <c:v>26.5-27.5</c:v>
                </c:pt>
                <c:pt idx="5">
                  <c:v>27.5-28.5</c:v>
                </c:pt>
                <c:pt idx="6">
                  <c:v>28.5-29.5</c:v>
                </c:pt>
                <c:pt idx="7">
                  <c:v>29.5-30.5</c:v>
                </c:pt>
                <c:pt idx="8">
                  <c:v>30.5-31.5</c:v>
                </c:pt>
                <c:pt idx="9">
                  <c:v>31.5-32.5</c:v>
                </c:pt>
                <c:pt idx="10">
                  <c:v>32.5-33.5</c:v>
                </c:pt>
                <c:pt idx="11">
                  <c:v>33.5-34.5</c:v>
                </c:pt>
              </c:strCache>
            </c:strRef>
          </c:cat>
          <c:val>
            <c:numRef>
              <c:f>draaioutput!$H$67:$H$78</c:f>
              <c:numCache>
                <c:formatCode>0.00</c:formatCode>
                <c:ptCount val="12"/>
                <c:pt idx="0">
                  <c:v>0.372</c:v>
                </c:pt>
                <c:pt idx="1">
                  <c:v>0.25700000000000001</c:v>
                </c:pt>
                <c:pt idx="2">
                  <c:v>0.28299999999999997</c:v>
                </c:pt>
                <c:pt idx="3">
                  <c:v>0.30509999999999998</c:v>
                </c:pt>
                <c:pt idx="4">
                  <c:v>0.30659999999999998</c:v>
                </c:pt>
                <c:pt idx="5">
                  <c:v>0.36630000000000001</c:v>
                </c:pt>
                <c:pt idx="6">
                  <c:v>0.4748</c:v>
                </c:pt>
                <c:pt idx="7">
                  <c:v>0.51910000000000001</c:v>
                </c:pt>
                <c:pt idx="8">
                  <c:v>0.3926</c:v>
                </c:pt>
                <c:pt idx="10">
                  <c:v>0.36780000000000002</c:v>
                </c:pt>
                <c:pt idx="11">
                  <c:v>0.29970000000000002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EA-2742-8E35-CBF9968E3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971583"/>
        <c:axId val="1021534911"/>
      </c:barChart>
      <c:catAx>
        <c:axId val="1021971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Diepte in</a:t>
                </a:r>
                <a:r>
                  <a:rPr lang="nl-NL" baseline="0"/>
                  <a:t> m tov LAT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1534911"/>
        <c:crosses val="autoZero"/>
        <c:auto val="1"/>
        <c:lblAlgn val="ctr"/>
        <c:lblOffset val="100"/>
        <c:noMultiLvlLbl val="0"/>
      </c:catAx>
      <c:valAx>
        <c:axId val="102153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d50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197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d50</a:t>
            </a:r>
            <a:r>
              <a:rPr lang="nl-NL" baseline="0"/>
              <a:t> (mm)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Gemiddelde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draaioutput!$A$25:$A$32</c:f>
              <c:strCache>
                <c:ptCount val="8"/>
                <c:pt idx="0">
                  <c:v>M000</c:v>
                </c:pt>
                <c:pt idx="1">
                  <c:v>M001</c:v>
                </c:pt>
                <c:pt idx="2">
                  <c:v>M002</c:v>
                </c:pt>
                <c:pt idx="3">
                  <c:v>M003</c:v>
                </c:pt>
                <c:pt idx="4">
                  <c:v>M004</c:v>
                </c:pt>
                <c:pt idx="5">
                  <c:v>M005</c:v>
                </c:pt>
                <c:pt idx="6">
                  <c:v>M006</c:v>
                </c:pt>
                <c:pt idx="7">
                  <c:v>Eindtotaal</c:v>
                </c:pt>
              </c:strCache>
            </c:strRef>
          </c:cat>
          <c:val>
            <c:numRef>
              <c:f>draaioutput!$F$25:$F$32</c:f>
              <c:numCache>
                <c:formatCode>0.00</c:formatCode>
                <c:ptCount val="8"/>
                <c:pt idx="0">
                  <c:v>0.25862222222222225</c:v>
                </c:pt>
                <c:pt idx="1">
                  <c:v>0.24798333333333333</c:v>
                </c:pt>
                <c:pt idx="2">
                  <c:v>0.23952666666666661</c:v>
                </c:pt>
                <c:pt idx="3">
                  <c:v>0.25741764705882358</c:v>
                </c:pt>
                <c:pt idx="4">
                  <c:v>0.27609999999999996</c:v>
                </c:pt>
                <c:pt idx="5">
                  <c:v>0.26302352941176471</c:v>
                </c:pt>
                <c:pt idx="6">
                  <c:v>0.27771818181818181</c:v>
                </c:pt>
                <c:pt idx="7" formatCode="0.000">
                  <c:v>0.25921250000000001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4-204F-BABE-B2C70CE34EC1}"/>
            </c:ext>
          </c:extLst>
        </c:ser>
        <c:ser>
          <c:idx val="1"/>
          <c:order val="1"/>
          <c:tx>
            <c:v>Minimum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draaioutput!$A$25:$A$32</c:f>
              <c:strCache>
                <c:ptCount val="8"/>
                <c:pt idx="0">
                  <c:v>M000</c:v>
                </c:pt>
                <c:pt idx="1">
                  <c:v>M001</c:v>
                </c:pt>
                <c:pt idx="2">
                  <c:v>M002</c:v>
                </c:pt>
                <c:pt idx="3">
                  <c:v>M003</c:v>
                </c:pt>
                <c:pt idx="4">
                  <c:v>M004</c:v>
                </c:pt>
                <c:pt idx="5">
                  <c:v>M005</c:v>
                </c:pt>
                <c:pt idx="6">
                  <c:v>M006</c:v>
                </c:pt>
                <c:pt idx="7">
                  <c:v>Eindtotaal</c:v>
                </c:pt>
              </c:strCache>
            </c:strRef>
          </c:cat>
          <c:val>
            <c:numRef>
              <c:f>draaioutput!$G$25:$G$32</c:f>
              <c:numCache>
                <c:formatCode>0.00</c:formatCode>
                <c:ptCount val="8"/>
                <c:pt idx="0">
                  <c:v>0.20569999999999999</c:v>
                </c:pt>
                <c:pt idx="1">
                  <c:v>0.1825</c:v>
                </c:pt>
                <c:pt idx="2">
                  <c:v>0.14660000000000001</c:v>
                </c:pt>
                <c:pt idx="3">
                  <c:v>0.14799999999999999</c:v>
                </c:pt>
                <c:pt idx="4">
                  <c:v>0.1991</c:v>
                </c:pt>
                <c:pt idx="5">
                  <c:v>0.1492</c:v>
                </c:pt>
                <c:pt idx="6">
                  <c:v>0.15790000000000001</c:v>
                </c:pt>
                <c:pt idx="7" formatCode="0.000">
                  <c:v>0.14660000000000001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64-204F-BABE-B2C70CE34EC1}"/>
            </c:ext>
          </c:extLst>
        </c:ser>
        <c:ser>
          <c:idx val="2"/>
          <c:order val="2"/>
          <c:tx>
            <c:v>Maximum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draaioutput!$A$25:$A$32</c:f>
              <c:strCache>
                <c:ptCount val="8"/>
                <c:pt idx="0">
                  <c:v>M000</c:v>
                </c:pt>
                <c:pt idx="1">
                  <c:v>M001</c:v>
                </c:pt>
                <c:pt idx="2">
                  <c:v>M002</c:v>
                </c:pt>
                <c:pt idx="3">
                  <c:v>M003</c:v>
                </c:pt>
                <c:pt idx="4">
                  <c:v>M004</c:v>
                </c:pt>
                <c:pt idx="5">
                  <c:v>M005</c:v>
                </c:pt>
                <c:pt idx="6">
                  <c:v>M006</c:v>
                </c:pt>
                <c:pt idx="7">
                  <c:v>Eindtotaal</c:v>
                </c:pt>
              </c:strCache>
            </c:strRef>
          </c:cat>
          <c:val>
            <c:numRef>
              <c:f>draaioutput!$H$25:$H$32</c:f>
              <c:numCache>
                <c:formatCode>0.00</c:formatCode>
                <c:ptCount val="8"/>
                <c:pt idx="0">
                  <c:v>0.45419999999999999</c:v>
                </c:pt>
                <c:pt idx="1">
                  <c:v>0.51910000000000001</c:v>
                </c:pt>
                <c:pt idx="2">
                  <c:v>0.3926</c:v>
                </c:pt>
                <c:pt idx="3">
                  <c:v>0.30509999999999998</c:v>
                </c:pt>
                <c:pt idx="4">
                  <c:v>0.36630000000000001</c:v>
                </c:pt>
                <c:pt idx="5">
                  <c:v>0.4748</c:v>
                </c:pt>
                <c:pt idx="6">
                  <c:v>0.4088</c:v>
                </c:pt>
                <c:pt idx="7" formatCode="0.000">
                  <c:v>0.51910000000000001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64-204F-BABE-B2C70CE34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971583"/>
        <c:axId val="1021534911"/>
      </c:barChart>
      <c:catAx>
        <c:axId val="1021971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Monster nummer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1534911"/>
        <c:crosses val="autoZero"/>
        <c:auto val="1"/>
        <c:lblAlgn val="ctr"/>
        <c:lblOffset val="100"/>
        <c:noMultiLvlLbl val="0"/>
      </c:catAx>
      <c:valAx>
        <c:axId val="102153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d50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197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%</a:t>
            </a:r>
            <a:r>
              <a:rPr lang="nl-NL" baseline="0"/>
              <a:t> &lt;0.063mm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Gemiddelde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draaioutput!$A$25:$A$32</c:f>
              <c:strCache>
                <c:ptCount val="8"/>
                <c:pt idx="0">
                  <c:v>M000</c:v>
                </c:pt>
                <c:pt idx="1">
                  <c:v>M001</c:v>
                </c:pt>
                <c:pt idx="2">
                  <c:v>M002</c:v>
                </c:pt>
                <c:pt idx="3">
                  <c:v>M003</c:v>
                </c:pt>
                <c:pt idx="4">
                  <c:v>M004</c:v>
                </c:pt>
                <c:pt idx="5">
                  <c:v>M005</c:v>
                </c:pt>
                <c:pt idx="6">
                  <c:v>M006</c:v>
                </c:pt>
                <c:pt idx="7">
                  <c:v>Eindtotaal</c:v>
                </c:pt>
              </c:strCache>
            </c:strRef>
          </c:cat>
          <c:val>
            <c:numRef>
              <c:f>draaioutput!$B$25:$B$32</c:f>
              <c:numCache>
                <c:formatCode>0.00</c:formatCode>
                <c:ptCount val="8"/>
                <c:pt idx="0">
                  <c:v>0.68000000000000016</c:v>
                </c:pt>
                <c:pt idx="1">
                  <c:v>0.76500000000000024</c:v>
                </c:pt>
                <c:pt idx="2">
                  <c:v>0.75933333333333342</c:v>
                </c:pt>
                <c:pt idx="3">
                  <c:v>0.66647058823529404</c:v>
                </c:pt>
                <c:pt idx="4">
                  <c:v>0.47250000000000003</c:v>
                </c:pt>
                <c:pt idx="5">
                  <c:v>0.62</c:v>
                </c:pt>
                <c:pt idx="6">
                  <c:v>0.50636363636363635</c:v>
                </c:pt>
                <c:pt idx="7">
                  <c:v>0.64642857142857169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2-F046-ACAC-A941CD9248D1}"/>
            </c:ext>
          </c:extLst>
        </c:ser>
        <c:ser>
          <c:idx val="1"/>
          <c:order val="1"/>
          <c:tx>
            <c:v>Minimum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draaioutput!$A$25:$A$32</c:f>
              <c:strCache>
                <c:ptCount val="8"/>
                <c:pt idx="0">
                  <c:v>M000</c:v>
                </c:pt>
                <c:pt idx="1">
                  <c:v>M001</c:v>
                </c:pt>
                <c:pt idx="2">
                  <c:v>M002</c:v>
                </c:pt>
                <c:pt idx="3">
                  <c:v>M003</c:v>
                </c:pt>
                <c:pt idx="4">
                  <c:v>M004</c:v>
                </c:pt>
                <c:pt idx="5">
                  <c:v>M005</c:v>
                </c:pt>
                <c:pt idx="6">
                  <c:v>M006</c:v>
                </c:pt>
                <c:pt idx="7">
                  <c:v>Eindtotaal</c:v>
                </c:pt>
              </c:strCache>
            </c:strRef>
          </c:cat>
          <c:val>
            <c:numRef>
              <c:f>draaioutput!$C$25:$C$32</c:f>
              <c:numCache>
                <c:formatCode>0.00</c:formatCode>
                <c:ptCount val="8"/>
                <c:pt idx="0">
                  <c:v>0.24</c:v>
                </c:pt>
                <c:pt idx="1">
                  <c:v>0.3</c:v>
                </c:pt>
                <c:pt idx="2">
                  <c:v>0.24</c:v>
                </c:pt>
                <c:pt idx="3">
                  <c:v>0.28999999999999998</c:v>
                </c:pt>
                <c:pt idx="4">
                  <c:v>0.24</c:v>
                </c:pt>
                <c:pt idx="5">
                  <c:v>0.17</c:v>
                </c:pt>
                <c:pt idx="6">
                  <c:v>0.26</c:v>
                </c:pt>
                <c:pt idx="7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2-F046-ACAC-A941CD9248D1}"/>
            </c:ext>
          </c:extLst>
        </c:ser>
        <c:ser>
          <c:idx val="2"/>
          <c:order val="2"/>
          <c:tx>
            <c:v>Maximum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draaioutput!$A$25:$A$32</c:f>
              <c:strCache>
                <c:ptCount val="8"/>
                <c:pt idx="0">
                  <c:v>M000</c:v>
                </c:pt>
                <c:pt idx="1">
                  <c:v>M001</c:v>
                </c:pt>
                <c:pt idx="2">
                  <c:v>M002</c:v>
                </c:pt>
                <c:pt idx="3">
                  <c:v>M003</c:v>
                </c:pt>
                <c:pt idx="4">
                  <c:v>M004</c:v>
                </c:pt>
                <c:pt idx="5">
                  <c:v>M005</c:v>
                </c:pt>
                <c:pt idx="6">
                  <c:v>M006</c:v>
                </c:pt>
                <c:pt idx="7">
                  <c:v>Eindtotaal</c:v>
                </c:pt>
              </c:strCache>
            </c:strRef>
          </c:cat>
          <c:val>
            <c:numRef>
              <c:f>draaioutput!$D$25:$D$32</c:f>
              <c:numCache>
                <c:formatCode>0.00</c:formatCode>
                <c:ptCount val="8"/>
                <c:pt idx="0">
                  <c:v>1.98</c:v>
                </c:pt>
                <c:pt idx="1">
                  <c:v>1.84</c:v>
                </c:pt>
                <c:pt idx="2">
                  <c:v>2.5099999999999998</c:v>
                </c:pt>
                <c:pt idx="3">
                  <c:v>2.09</c:v>
                </c:pt>
                <c:pt idx="4">
                  <c:v>1</c:v>
                </c:pt>
                <c:pt idx="5">
                  <c:v>2.57</c:v>
                </c:pt>
                <c:pt idx="6">
                  <c:v>0.81</c:v>
                </c:pt>
                <c:pt idx="7">
                  <c:v>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D2-F046-ACAC-A941CD924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319103"/>
        <c:axId val="1326320751"/>
      </c:barChart>
      <c:catAx>
        <c:axId val="132631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Monster nummer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6320751"/>
        <c:crosses val="autoZero"/>
        <c:auto val="1"/>
        <c:lblAlgn val="ctr"/>
        <c:lblOffset val="100"/>
        <c:noMultiLvlLbl val="0"/>
      </c:catAx>
      <c:valAx>
        <c:axId val="132632075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% &lt; 0.063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63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72CCD43-68A7-B94F-ABF5-77014FF7CAD6}" formatIdx="0">
          <cx:tx>
            <cx:txData>
              <cx:f>_xlchart.v1.0</cx:f>
              <cx:v>0.03 0.00 0.03 0.03 0.35 2.79 2.66 0.35 0.26</cx:v>
            </cx:txData>
          </cx:tx>
          <cx:dataId val="0"/>
          <cx:layoutPr>
            <cx:binning intervalClosed="r" underflow="auto" overflow="auto">
              <cx:binCount val="20"/>
            </cx:binning>
          </cx:layoutPr>
        </cx:series>
      </cx:plotAreaRegion>
      <cx:axis id="0">
        <cx:catScaling gapWidth="2"/>
        <cx:tickLabels/>
        <cx:numFmt formatCode="0.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355600</xdr:colOff>
      <xdr:row>35</xdr:row>
      <xdr:rowOff>177800</xdr:rowOff>
    </xdr:from>
    <xdr:to>
      <xdr:col>16</xdr:col>
      <xdr:colOff>127000</xdr:colOff>
      <xdr:row>69</xdr:row>
      <xdr:rowOff>177800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3450FFA3-A634-9FA5-F4C1-B53F1CD34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495300</xdr:colOff>
      <xdr:row>1</xdr:row>
      <xdr:rowOff>63500</xdr:rowOff>
    </xdr:from>
    <xdr:to>
      <xdr:col>16</xdr:col>
      <xdr:colOff>520700</xdr:colOff>
      <xdr:row>24</xdr:row>
      <xdr:rowOff>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FFC116AF-E396-D99C-5508-C4E12DF6C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266700</xdr:colOff>
      <xdr:row>25</xdr:row>
      <xdr:rowOff>139700</xdr:rowOff>
    </xdr:from>
    <xdr:to>
      <xdr:col>21</xdr:col>
      <xdr:colOff>342900</xdr:colOff>
      <xdr:row>39</xdr:row>
      <xdr:rowOff>38100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9CD8302C-9824-534F-B8AE-4D15D92C8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661330</xdr:colOff>
      <xdr:row>86</xdr:row>
      <xdr:rowOff>73412</xdr:rowOff>
    </xdr:from>
    <xdr:to>
      <xdr:col>19</xdr:col>
      <xdr:colOff>245328</xdr:colOff>
      <xdr:row>105</xdr:row>
      <xdr:rowOff>9912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C2275A5A-F2BC-4C48-8FD8-13511F4CC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660400</xdr:colOff>
      <xdr:row>23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ek 1">
              <a:extLst>
                <a:ext uri="{FF2B5EF4-FFF2-40B4-BE49-F238E27FC236}">
                  <a16:creationId xmlns:a16="http://schemas.microsoft.com/office/drawing/2014/main" id="{01B37123-E860-9243-A391-B5ABE9E674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6438900" cy="478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grafiek is niet beschikbaar in uw versie van Excel.
Als u deze vorm bewerkt of deze werkmap opslaat in een andere bestandsindeling, wordt de grafiek onherstelbaar beschadigd.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de kleine" refreshedDate="46237.606538194443" createdVersion="8" refreshedVersion="8" minRefreshableVersion="3" recordCount="234" xr:uid="{45A49D3D-ECF0-0B49-A1B4-E1D0BADBCF2A}">
  <cacheSource type="worksheet">
    <worksheetSource ref="A1:AN235" sheet="draai"/>
  </cacheSource>
  <cacheFields count="40">
    <cacheField name="Boornummer" numFmtId="0">
      <sharedItems containsBlank="1"/>
    </cacheField>
    <cacheField name="DINO" numFmtId="0">
      <sharedItems containsString="0" containsBlank="1" containsNumber="1" containsInteger="1" minValue="1" maxValue="2"/>
    </cacheField>
    <cacheField name="lab nummer" numFmtId="0">
      <sharedItems containsBlank="1"/>
    </cacheField>
    <cacheField name="X" numFmtId="0">
      <sharedItems containsString="0" containsBlank="1" containsNumber="1" minValue="597569" maxValue="598952.69999999995"/>
    </cacheField>
    <cacheField name="Y" numFmtId="0">
      <sharedItems containsString="0" containsBlank="1" containsNumber="1" minValue="5851444.4000000004" maxValue="5853712.7000000002"/>
    </cacheField>
    <cacheField name="Z" numFmtId="0">
      <sharedItems containsString="0" containsBlank="1" containsNumber="1" minValue="22.5" maxValue="29"/>
    </cacheField>
    <cacheField name="vak" numFmtId="0">
      <sharedItems containsNonDate="0" containsString="0" containsBlank="1"/>
    </cacheField>
    <cacheField name="monster nummer" numFmtId="0">
      <sharedItems containsBlank="1"/>
    </cacheField>
    <cacheField name="nummer_diepte" numFmtId="0">
      <sharedItems containsBlank="1" count="14">
        <s v="M000"/>
        <s v="M001"/>
        <s v="M002"/>
        <s v="M003"/>
        <s v="M005"/>
        <s v="M006"/>
        <s v="M004"/>
        <m/>
        <s v="M011" u="1"/>
        <s v="M012" u="1"/>
        <s v="M007" u="1"/>
        <s v="M008" u="1"/>
        <s v="M009" u="1"/>
        <s v="M010" u="1"/>
      </sharedItems>
    </cacheField>
    <cacheField name="Van " numFmtId="0">
      <sharedItems containsString="0" containsBlank="1" containsNumber="1" minValue="0" maxValue="5.24"/>
    </cacheField>
    <cacheField name="Tot" numFmtId="0">
      <sharedItems containsString="0" containsBlank="1" containsNumber="1" minValue="0.06" maxValue="6"/>
    </cacheField>
    <cacheField name="Van_LAT" numFmtId="0">
      <sharedItems containsString="0" containsBlank="1" containsNumber="1" minValue="22.5" maxValue="33.04"/>
    </cacheField>
    <cacheField name="Tot_LAT" numFmtId="0">
      <sharedItems containsString="0" containsBlank="1" containsNumber="1" minValue="22.56" maxValue="34"/>
    </cacheField>
    <cacheField name="mon_mid_lat" numFmtId="167">
      <sharedItems containsString="0" containsBlank="1" containsNumber="1" minValue="22.53" maxValue="33.519999999999996"/>
    </cacheField>
    <cacheField name="mon_mid_lat_ron" numFmtId="1">
      <sharedItems containsString="0" containsBlank="1" containsNumber="1" containsInteger="1" minValue="23" maxValue="34"/>
    </cacheField>
    <cacheField name="Traject_van" numFmtId="0">
      <sharedItems containsString="0" containsBlank="1" containsNumber="1" minValue="0" maxValue="5.07"/>
    </cacheField>
    <cacheField name="Traject_tot" numFmtId="0">
      <sharedItems containsString="0" containsBlank="1" containsNumber="1" minValue="0.06" maxValue="6"/>
    </cacheField>
    <cacheField name="Tra_van_lat" numFmtId="2">
      <sharedItems containsString="0" containsBlank="1" containsNumber="1" minValue="22.5" maxValue="33.04"/>
    </cacheField>
    <cacheField name="Tra_tot_lat" numFmtId="2">
      <sharedItems containsString="0" containsBlank="1" containsNumber="1" minValue="22.56" maxValue="34.65"/>
    </cacheField>
    <cacheField name="middle_lat" numFmtId="2">
      <sharedItems containsString="0" containsBlank="1" containsNumber="1" minValue="22.53" maxValue="33.844999999999999"/>
    </cacheField>
    <cacheField name="MID_LAT" numFmtId="1">
      <sharedItems containsString="0" containsBlank="1" containsNumber="1" containsInteger="1" minValue="23" maxValue="34"/>
    </cacheField>
    <cacheField name="grind (&gt; 2 mm)" numFmtId="0">
      <sharedItems containsString="0" containsBlank="1" containsNumber="1" minValue="0" maxValue="4.7"/>
    </cacheField>
    <cacheField name="zand (0.063 - 2 mm)" numFmtId="0">
      <sharedItems containsString="0" containsBlank="1" containsNumber="1" minValue="93.64" maxValue="99.65"/>
    </cacheField>
    <cacheField name="silt+klei (&lt; 0.063 mm)" numFmtId="0">
      <sharedItems containsString="0" containsBlank="1" containsNumber="1" minValue="0.33" maxValue="3.95"/>
    </cacheField>
    <cacheField name="63calculated. zonder zoutcorrectie" numFmtId="0">
      <sharedItems containsString="0" containsBlank="1" containsNumber="1" minValue="0.28999999999999998" maxValue="3.11"/>
    </cacheField>
    <cacheField name="63calculated. met zoutcorrectie" numFmtId="0">
      <sharedItems containsString="0" containsBlank="1" containsNumber="1" minValue="0.17" maxValue="2.57"/>
    </cacheField>
    <cacheField name="63standaard. zonder zoutcorrectie" numFmtId="0">
      <sharedItems containsString="0" containsBlank="1" containsNumber="1" minValue="0.33" maxValue="3.95"/>
    </cacheField>
    <cacheField name="63standaard. met zoutcorrectie" numFmtId="0">
      <sharedItems containsString="0" containsBlank="1" containsNumber="1" minValue="0.21" maxValue="3.45"/>
    </cacheField>
    <cacheField name="d60 / d10" numFmtId="0">
      <sharedItems containsString="0" containsBlank="1" containsNumber="1" minValue="1.3443000000000001" maxValue="3.3607999999999998"/>
    </cacheField>
    <cacheField name="d10" numFmtId="0">
      <sharedItems containsString="0" containsBlank="1" containsNumber="1" minValue="9.2499999999999999E-2" maxValue="0.28039999999999998"/>
    </cacheField>
    <cacheField name="d15" numFmtId="0">
      <sharedItems containsString="0" containsBlank="1" containsNumber="1" minValue="0.10680000000000001" maxValue="0.33610000000000001"/>
    </cacheField>
    <cacheField name="d50" numFmtId="0">
      <sharedItems containsString="0" containsBlank="1" containsNumber="1" minValue="0.14660000000000001" maxValue="0.51910000000000001"/>
    </cacheField>
    <cacheField name="d60" numFmtId="0">
      <sharedItems containsString="0" containsBlank="1" containsNumber="1" minValue="0.1552" maxValue="0.57820000000000005"/>
    </cacheField>
    <cacheField name="d70" numFmtId="0">
      <sharedItems containsString="0" containsBlank="1" containsNumber="1" minValue="0.16420000000000001" maxValue="0.64390000000000003"/>
    </cacheField>
    <cacheField name="D60 / D102" numFmtId="0">
      <sharedItems containsString="0" containsBlank="1" containsNumber="1" minValue="1.3361000000000001" maxValue="3.3098000000000001"/>
    </cacheField>
    <cacheField name="D102" numFmtId="0">
      <sharedItems containsString="0" containsBlank="1" containsNumber="1" minValue="0.1007" maxValue="0.2823"/>
    </cacheField>
    <cacheField name="D152" numFmtId="0">
      <sharedItems containsString="0" containsBlank="1" containsNumber="1" minValue="0.11260000000000001" maxValue="0.33829999999999999"/>
    </cacheField>
    <cacheField name="D602" numFmtId="0">
      <sharedItems containsString="0" containsBlank="1" containsNumber="1" minValue="0.15609999999999999" maxValue="0.57440000000000002"/>
    </cacheField>
    <cacheField name="D702" numFmtId="0">
      <sharedItems containsString="0" containsBlank="1" containsNumber="1" minValue="0.16489999999999999" maxValue="0.63859999999999995"/>
    </cacheField>
    <cacheField name="M63" numFmtId="0">
      <sharedItems containsString="0" containsBlank="1" containsNumber="1" minValue="0.1477" maxValue="0.5165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de kleine" refreshedDate="46237.606585532405" createdVersion="8" refreshedVersion="8" minRefreshableVersion="3" recordCount="235" xr:uid="{C83F1F97-8181-B147-B0E5-87284455362A}">
  <cacheSource type="worksheet">
    <worksheetSource ref="A1:AN1048576" sheet="draai"/>
  </cacheSource>
  <cacheFields count="40">
    <cacheField name="Boornummer" numFmtId="0">
      <sharedItems containsBlank="1"/>
    </cacheField>
    <cacheField name="DINO" numFmtId="0">
      <sharedItems containsString="0" containsBlank="1" containsNumber="1" containsInteger="1" minValue="1" maxValue="2"/>
    </cacheField>
    <cacheField name="lab nummer" numFmtId="0">
      <sharedItems containsBlank="1"/>
    </cacheField>
    <cacheField name="X" numFmtId="0">
      <sharedItems containsString="0" containsBlank="1" containsNumber="1" minValue="597569" maxValue="598952.69999999995"/>
    </cacheField>
    <cacheField name="Y" numFmtId="0">
      <sharedItems containsString="0" containsBlank="1" containsNumber="1" minValue="5851444.4000000004" maxValue="5853712.7000000002"/>
    </cacheField>
    <cacheField name="Z" numFmtId="0">
      <sharedItems containsString="0" containsBlank="1" containsNumber="1" minValue="22.5" maxValue="29"/>
    </cacheField>
    <cacheField name="vak" numFmtId="0">
      <sharedItems containsNonDate="0" containsString="0" containsBlank="1" containsNumber="1" containsInteger="1" minValue="1" maxValue="5" count="6">
        <m/>
        <n v="1" u="1"/>
        <n v="5" u="1"/>
        <n v="4" u="1"/>
        <n v="2" u="1"/>
        <n v="3" u="1"/>
      </sharedItems>
    </cacheField>
    <cacheField name="monster nummer" numFmtId="0">
      <sharedItems containsBlank="1"/>
    </cacheField>
    <cacheField name="nummer_diepte" numFmtId="0">
      <sharedItems containsBlank="1" count="38">
        <s v="M000"/>
        <s v="M001"/>
        <s v="M002"/>
        <s v="M003"/>
        <s v="M005"/>
        <s v="M006"/>
        <s v="M004"/>
        <m/>
        <s v="M011" u="1"/>
        <s v="M012" u="1"/>
        <s v="M007" u="1"/>
        <s v="M008" u="1"/>
        <s v="M009" u="1"/>
        <s v="M010" u="1"/>
        <s v="S10" u="1"/>
        <s v="S11" u="1"/>
        <s v="S12" u="1"/>
        <s v="S13" u="1"/>
        <s v="S0" u="1"/>
        <s v="S14" u="1"/>
        <s v="S15" u="1"/>
        <s v="S2" u="1"/>
        <s v="N005" u="1"/>
        <s v="S16" u="1"/>
        <s v="S4" u="1"/>
        <s v="S17" u="1"/>
        <s v="S18" u="1"/>
        <s v="S6" u="1"/>
        <s v="S19" u="1"/>
        <s v="S8" u="1"/>
        <s v="S20" u="1"/>
        <s v="S1 " u="1"/>
        <s v="S21" u="1"/>
        <s v="S1" u="1"/>
        <s v="S3" u="1"/>
        <s v="S5" u="1"/>
        <s v="S7" u="1"/>
        <s v="S9" u="1"/>
      </sharedItems>
    </cacheField>
    <cacheField name="Van " numFmtId="0">
      <sharedItems containsString="0" containsBlank="1" containsNumber="1" minValue="0" maxValue="5.24"/>
    </cacheField>
    <cacheField name="Tot" numFmtId="0">
      <sharedItems containsString="0" containsBlank="1" containsNumber="1" minValue="0.06" maxValue="6"/>
    </cacheField>
    <cacheField name="Van_LAT" numFmtId="0">
      <sharedItems containsString="0" containsBlank="1" containsNumber="1" minValue="22.5" maxValue="33.04"/>
    </cacheField>
    <cacheField name="Tot_LAT" numFmtId="0">
      <sharedItems containsString="0" containsBlank="1" containsNumber="1" minValue="22.56" maxValue="34"/>
    </cacheField>
    <cacheField name="mon_mid_lat" numFmtId="0">
      <sharedItems containsString="0" containsBlank="1" containsNumber="1" minValue="22.53" maxValue="33.519999999999996"/>
    </cacheField>
    <cacheField name="mon_mid_lat_ron" numFmtId="0">
      <sharedItems containsString="0" containsBlank="1" containsNumber="1" containsInteger="1" minValue="23" maxValue="34"/>
    </cacheField>
    <cacheField name="Traject_van" numFmtId="0">
      <sharedItems containsString="0" containsBlank="1" containsNumber="1" minValue="0" maxValue="5.07"/>
    </cacheField>
    <cacheField name="Traject_tot" numFmtId="0">
      <sharedItems containsString="0" containsBlank="1" containsNumber="1" minValue="0.06" maxValue="6"/>
    </cacheField>
    <cacheField name="Tra_van_lat" numFmtId="0">
      <sharedItems containsString="0" containsBlank="1" containsNumber="1" minValue="22.5" maxValue="33.04"/>
    </cacheField>
    <cacheField name="Tra_tot_lat" numFmtId="0">
      <sharedItems containsString="0" containsBlank="1" containsNumber="1" minValue="22.56" maxValue="34.65"/>
    </cacheField>
    <cacheField name="middle_lat" numFmtId="0">
      <sharedItems containsString="0" containsBlank="1" containsNumber="1" minValue="22.53" maxValue="33.844999999999999"/>
    </cacheField>
    <cacheField name="MID_LAT" numFmtId="0">
      <sharedItems containsString="0" containsBlank="1" containsNumber="1" containsInteger="1" minValue="18" maxValue="49" count="33">
        <n v="25"/>
        <n v="26"/>
        <n v="27"/>
        <n v="29"/>
        <n v="30"/>
        <n v="28"/>
        <n v="31"/>
        <n v="33"/>
        <n v="24"/>
        <n v="34"/>
        <n v="23"/>
        <m/>
        <n v="22" u="1"/>
        <n v="35" u="1"/>
        <n v="21" u="1"/>
        <n v="32" u="1"/>
        <n v="36" u="1"/>
        <n v="37" u="1"/>
        <n v="19" u="1"/>
        <n v="20" u="1"/>
        <n v="38" u="1"/>
        <n v="39" u="1"/>
        <n v="18" u="1"/>
        <n v="40" u="1"/>
        <n v="42" u="1"/>
        <n v="44" u="1"/>
        <n v="46" u="1"/>
        <n v="48" u="1"/>
        <n v="41" u="1"/>
        <n v="43" u="1"/>
        <n v="45" u="1"/>
        <n v="47" u="1"/>
        <n v="49" u="1"/>
      </sharedItems>
    </cacheField>
    <cacheField name="grind (&gt; 2 mm)" numFmtId="0">
      <sharedItems containsString="0" containsBlank="1" containsNumber="1" minValue="0" maxValue="4.7"/>
    </cacheField>
    <cacheField name="zand (0.063 - 2 mm)" numFmtId="0">
      <sharedItems containsString="0" containsBlank="1" containsNumber="1" minValue="93.64" maxValue="99.65"/>
    </cacheField>
    <cacheField name="silt+klei (&lt; 0.063 mm)" numFmtId="0">
      <sharedItems containsString="0" containsBlank="1" containsNumber="1" minValue="0.33" maxValue="3.95"/>
    </cacheField>
    <cacheField name="63calculated. zonder zoutcorrectie" numFmtId="0">
      <sharedItems containsString="0" containsBlank="1" containsNumber="1" minValue="0.28999999999999998" maxValue="3.11"/>
    </cacheField>
    <cacheField name="63calculated. met zoutcorrectie" numFmtId="0">
      <sharedItems containsString="0" containsBlank="1" containsNumber="1" minValue="0.17" maxValue="2.57"/>
    </cacheField>
    <cacheField name="63standaard. zonder zoutcorrectie" numFmtId="0">
      <sharedItems containsString="0" containsBlank="1" containsNumber="1" minValue="0.33" maxValue="3.95"/>
    </cacheField>
    <cacheField name="63standaard. met zoutcorrectie" numFmtId="0">
      <sharedItems containsString="0" containsBlank="1" containsNumber="1" minValue="0.21" maxValue="3.45"/>
    </cacheField>
    <cacheField name="d60 / d10" numFmtId="0">
      <sharedItems containsString="0" containsBlank="1" containsNumber="1" minValue="1.3443000000000001" maxValue="3.3607999999999998"/>
    </cacheField>
    <cacheField name="d10" numFmtId="0">
      <sharedItems containsString="0" containsBlank="1" containsNumber="1" minValue="9.2499999999999999E-2" maxValue="0.28039999999999998"/>
    </cacheField>
    <cacheField name="d15" numFmtId="0">
      <sharedItems containsString="0" containsBlank="1" containsNumber="1" minValue="0.10680000000000001" maxValue="0.33610000000000001"/>
    </cacheField>
    <cacheField name="d50" numFmtId="0">
      <sharedItems containsString="0" containsBlank="1" containsNumber="1" minValue="0.14660000000000001" maxValue="0.51910000000000001"/>
    </cacheField>
    <cacheField name="d60" numFmtId="0">
      <sharedItems containsString="0" containsBlank="1" containsNumber="1" minValue="0.1552" maxValue="0.57820000000000005"/>
    </cacheField>
    <cacheField name="d70" numFmtId="0">
      <sharedItems containsString="0" containsBlank="1" containsNumber="1" minValue="0.16420000000000001" maxValue="0.64390000000000003"/>
    </cacheField>
    <cacheField name="D60 / D102" numFmtId="0">
      <sharedItems containsString="0" containsBlank="1" containsNumber="1" minValue="1.3361000000000001" maxValue="3.3098000000000001"/>
    </cacheField>
    <cacheField name="D102" numFmtId="0">
      <sharedItems containsString="0" containsBlank="1" containsNumber="1" minValue="0.1007" maxValue="0.2823"/>
    </cacheField>
    <cacheField name="D152" numFmtId="0">
      <sharedItems containsString="0" containsBlank="1" containsNumber="1" minValue="0.11260000000000001" maxValue="0.33829999999999999"/>
    </cacheField>
    <cacheField name="D602" numFmtId="0">
      <sharedItems containsString="0" containsBlank="1" containsNumber="1" minValue="0.15609999999999999" maxValue="0.57440000000000002"/>
    </cacheField>
    <cacheField name="D702" numFmtId="0">
      <sharedItems containsString="0" containsBlank="1" containsNumber="1" minValue="0.16489999999999999" maxValue="0.63859999999999995"/>
    </cacheField>
    <cacheField name="M63" numFmtId="0">
      <sharedItems containsString="0" containsBlank="1" containsNumber="1" minValue="0.1477" maxValue="0.5165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s v="VC_Q5-H_01"/>
    <n v="2"/>
    <s v="VC201"/>
    <n v="598718.6"/>
    <n v="5853262.4000000004"/>
    <n v="24.7"/>
    <m/>
    <s v="S1"/>
    <x v="0"/>
    <n v="0.18"/>
    <n v="0.8"/>
    <n v="24.88"/>
    <n v="25.5"/>
    <n v="25.189999999999998"/>
    <n v="25"/>
    <n v="0"/>
    <n v="0.8"/>
    <n v="24.7"/>
    <n v="25.5"/>
    <n v="25.1"/>
    <n v="25"/>
    <n v="2.04"/>
    <n v="96.82"/>
    <n v="1.1399999999999999"/>
    <n v="0.75"/>
    <n v="0.55000000000000004"/>
    <n v="1.1399999999999999"/>
    <n v="0.93"/>
    <n v="1.9167000000000001"/>
    <n v="0.14949999999999999"/>
    <n v="0.17100000000000001"/>
    <n v="0.25650000000000001"/>
    <n v="0.28649999999999998"/>
    <n v="0.3201"/>
    <n v="1.8664000000000001"/>
    <n v="0.15210000000000001"/>
    <n v="0.17319999999999999"/>
    <n v="0.2838"/>
    <n v="0.316"/>
    <n v="0.25490000000000002"/>
  </r>
  <r>
    <s v="VC_Q5-H_01"/>
    <n v="2"/>
    <s v="VC201"/>
    <n v="598718.6"/>
    <n v="5853262.4000000004"/>
    <n v="24.7"/>
    <m/>
    <s v="S1"/>
    <x v="1"/>
    <n v="0.8"/>
    <n v="1"/>
    <n v="25.5"/>
    <n v="25.7"/>
    <n v="25.6"/>
    <n v="26"/>
    <n v="0.8"/>
    <n v="1"/>
    <n v="25.5"/>
    <n v="25.7"/>
    <n v="25.6"/>
    <n v="26"/>
    <n v="0.14000000000000001"/>
    <n v="97.67"/>
    <n v="2.19"/>
    <n v="1.72"/>
    <n v="1.23"/>
    <n v="2.19"/>
    <n v="1.7"/>
    <n v="2.2564000000000002"/>
    <n v="0.12640000000000001"/>
    <n v="0.13689999999999999"/>
    <n v="0.25640000000000002"/>
    <n v="0.2853"/>
    <n v="0.31730000000000003"/>
    <n v="2.2162999999999999"/>
    <n v="0.1295"/>
    <n v="0.1401"/>
    <n v="0.28710000000000002"/>
    <n v="0.31869999999999998"/>
    <n v="0.2586"/>
  </r>
  <r>
    <s v="VC_Q5-H_01"/>
    <n v="2"/>
    <s v="VC201"/>
    <n v="598718.6"/>
    <n v="5853262.4000000004"/>
    <n v="24.7"/>
    <m/>
    <s v="S2"/>
    <x v="2"/>
    <n v="1.05"/>
    <n v="2"/>
    <n v="25.75"/>
    <n v="26.7"/>
    <n v="26.225000000000001"/>
    <n v="26"/>
    <n v="1.05"/>
    <n v="2"/>
    <n v="25.75"/>
    <n v="26.7"/>
    <n v="26.225000000000001"/>
    <n v="26"/>
    <n v="0.04"/>
    <n v="96.15"/>
    <n v="3.82"/>
    <n v="2.88"/>
    <n v="2.5099999999999998"/>
    <n v="3.82"/>
    <n v="3.45"/>
    <n v="1.9964"/>
    <n v="9.9099999999999994E-2"/>
    <n v="0.126"/>
    <n v="0.1736"/>
    <n v="0.19769999999999999"/>
    <n v="0.2311"/>
    <n v="1.7130000000000001"/>
    <n v="0.1179"/>
    <n v="0.12939999999999999"/>
    <n v="0.20200000000000001"/>
    <n v="0.23480000000000001"/>
    <n v="0.17630000000000001"/>
  </r>
  <r>
    <s v="VC_Q5-H_01"/>
    <n v="2"/>
    <s v="VC201"/>
    <n v="598718.6"/>
    <n v="5853262.4000000004"/>
    <n v="24.7"/>
    <m/>
    <s v="S3"/>
    <x v="3"/>
    <n v="2.0299999999999998"/>
    <n v="3"/>
    <n v="26.73"/>
    <n v="27.7"/>
    <n v="27.215"/>
    <n v="27"/>
    <n v="2"/>
    <n v="3"/>
    <n v="26.7"/>
    <n v="27.7"/>
    <n v="27.2"/>
    <n v="27"/>
    <n v="0.01"/>
    <n v="97.02"/>
    <n v="2.97"/>
    <n v="2.38"/>
    <n v="2.09"/>
    <n v="2.97"/>
    <n v="2.68"/>
    <n v="2.4718"/>
    <n v="0.1164"/>
    <n v="0.1338"/>
    <n v="0.25840000000000002"/>
    <n v="0.28770000000000001"/>
    <n v="0.32029999999999997"/>
    <n v="2.2743000000000002"/>
    <n v="0.128"/>
    <n v="0.13919999999999999"/>
    <n v="0.29099999999999998"/>
    <n v="0.3231"/>
    <n v="0.2621"/>
  </r>
  <r>
    <s v="VC_Q5-H_01"/>
    <n v="2"/>
    <s v="VC201"/>
    <n v="598718.6"/>
    <n v="5853262.4000000004"/>
    <n v="24.7"/>
    <m/>
    <s v="S5A"/>
    <x v="4"/>
    <n v="4.08"/>
    <n v="5"/>
    <n v="28.78"/>
    <n v="29.7"/>
    <n v="29.240000000000002"/>
    <n v="29"/>
    <n v="4.08"/>
    <n v="5"/>
    <n v="28.78"/>
    <n v="29.7"/>
    <n v="29.240000000000002"/>
    <n v="29"/>
    <n v="0"/>
    <n v="99.16"/>
    <n v="0.84"/>
    <n v="0.64"/>
    <n v="0.52"/>
    <n v="0.84"/>
    <n v="0.72"/>
    <n v="1.9155"/>
    <n v="0.1489"/>
    <n v="0.17199999999999999"/>
    <n v="0.26300000000000001"/>
    <n v="0.28520000000000001"/>
    <n v="0.30940000000000001"/>
    <n v="1.8843000000000001"/>
    <n v="0.1517"/>
    <n v="0.17510000000000001"/>
    <n v="0.28589999999999999"/>
    <n v="0.30990000000000001"/>
    <n v="0.26379999999999998"/>
  </r>
  <r>
    <s v="VC_Q5-H_01"/>
    <n v="2"/>
    <s v="VC201"/>
    <n v="598718.6"/>
    <n v="5853262.4000000004"/>
    <n v="24.7"/>
    <m/>
    <s v="S5B"/>
    <x v="5"/>
    <n v="5"/>
    <n v="5.2"/>
    <n v="29.7"/>
    <n v="29.9"/>
    <n v="29.799999999999997"/>
    <n v="30"/>
    <n v="5"/>
    <n v="5.2"/>
    <n v="29.7"/>
    <n v="29.9"/>
    <n v="29.799999999999997"/>
    <n v="30"/>
    <n v="0.03"/>
    <n v="98.53"/>
    <n v="1.44"/>
    <n v="1.08"/>
    <n v="0.54"/>
    <n v="1.44"/>
    <n v="0.9"/>
    <n v="1.5964"/>
    <n v="0.1769"/>
    <n v="0.18820000000000001"/>
    <n v="0.2616"/>
    <n v="0.28239999999999998"/>
    <n v="0.3049"/>
    <n v="1.5669999999999999"/>
    <n v="0.1807"/>
    <n v="0.18959999999999999"/>
    <n v="0.28320000000000001"/>
    <n v="0.30549999999999999"/>
    <n v="0.26240000000000002"/>
  </r>
  <r>
    <s v="VC_Q5-H_02"/>
    <n v="2"/>
    <s v="VC202"/>
    <n v="598425.80000000005"/>
    <n v="5853112.7999999998"/>
    <n v="27.8"/>
    <m/>
    <s v="S1"/>
    <x v="0"/>
    <n v="0.1"/>
    <n v="0.55000000000000004"/>
    <n v="27.900000000000002"/>
    <n v="28.35"/>
    <n v="28.125"/>
    <n v="28"/>
    <n v="0"/>
    <n v="0.55000000000000004"/>
    <n v="27.8"/>
    <n v="28.35"/>
    <n v="28.075000000000003"/>
    <n v="28"/>
    <n v="0"/>
    <n v="98.97"/>
    <n v="1.03"/>
    <n v="0.79"/>
    <n v="0.61"/>
    <n v="1.03"/>
    <n v="0.85"/>
    <n v="1.7027000000000001"/>
    <n v="0.13500000000000001"/>
    <n v="0.1449"/>
    <n v="0.2117"/>
    <n v="0.22989999999999999"/>
    <n v="0.24959999999999999"/>
    <n v="1.6890000000000001"/>
    <n v="0.13650000000000001"/>
    <n v="0.1464"/>
    <n v="0.23050000000000001"/>
    <n v="0.25040000000000001"/>
    <n v="0.21249999999999999"/>
  </r>
  <r>
    <s v="VC_Q5-H_02"/>
    <n v="2"/>
    <s v="VC202"/>
    <n v="598425.80000000005"/>
    <n v="5853112.7999999998"/>
    <n v="27.8"/>
    <m/>
    <s v="S1"/>
    <x v="1"/>
    <n v="0.55000000000000004"/>
    <n v="1"/>
    <n v="28.35"/>
    <n v="28.8"/>
    <n v="28.575000000000003"/>
    <n v="29"/>
    <n v="0.55000000000000004"/>
    <n v="1"/>
    <n v="28.35"/>
    <n v="28.8"/>
    <n v="28.575000000000003"/>
    <n v="29"/>
    <n v="0.02"/>
    <n v="98.89"/>
    <n v="1.0900000000000001"/>
    <n v="0.81"/>
    <n v="0.38"/>
    <n v="1.0900000000000001"/>
    <n v="0.66"/>
    <n v="1.7552000000000001"/>
    <n v="0.1439"/>
    <n v="0.1583"/>
    <n v="0.23019999999999999"/>
    <n v="0.2525"/>
    <n v="0.30869999999999997"/>
    <n v="1.7442"/>
    <n v="0.14549999999999999"/>
    <n v="0.16"/>
    <n v="0.25380000000000003"/>
    <n v="0.30990000000000001"/>
    <n v="0.23080000000000001"/>
  </r>
  <r>
    <s v="VC_Q5-H_02"/>
    <n v="2"/>
    <s v="VC202"/>
    <n v="598425.80000000005"/>
    <n v="5853112.7999999998"/>
    <n v="27.8"/>
    <m/>
    <s v="S2"/>
    <x v="2"/>
    <n v="1.08"/>
    <n v="2"/>
    <n v="28.880000000000003"/>
    <n v="29.8"/>
    <n v="29.340000000000003"/>
    <n v="29"/>
    <n v="1"/>
    <n v="2"/>
    <n v="28.8"/>
    <n v="29.8"/>
    <n v="29.3"/>
    <n v="29"/>
    <n v="0.45"/>
    <n v="98.73"/>
    <n v="0.82"/>
    <n v="0.55000000000000004"/>
    <n v="0.33"/>
    <n v="0.82"/>
    <n v="0.59"/>
    <n v="1.9927999999999999"/>
    <n v="0.1525"/>
    <n v="0.1736"/>
    <n v="0.25829999999999997"/>
    <n v="0.3039"/>
    <n v="0.35720000000000002"/>
    <n v="1.9664999999999999"/>
    <n v="0.15440000000000001"/>
    <n v="0.17560000000000001"/>
    <n v="0.30370000000000003"/>
    <n v="0.35649999999999998"/>
    <n v="0.2586"/>
  </r>
  <r>
    <s v="VC_Q5-H_02"/>
    <n v="2"/>
    <s v="VC202"/>
    <n v="598425.80000000005"/>
    <n v="5853112.7999999998"/>
    <n v="27.8"/>
    <m/>
    <s v="S4"/>
    <x v="6"/>
    <n v="3.03"/>
    <n v="4"/>
    <n v="30.830000000000002"/>
    <n v="31.8"/>
    <n v="31.315000000000001"/>
    <n v="31"/>
    <n v="2"/>
    <n v="4.54"/>
    <n v="29.8"/>
    <n v="32.340000000000003"/>
    <n v="31.07"/>
    <n v="31"/>
    <n v="0.01"/>
    <n v="99.45"/>
    <n v="0.53"/>
    <n v="0.4"/>
    <n v="0.24"/>
    <n v="0.53"/>
    <n v="0.37"/>
    <n v="2.0819999999999999"/>
    <n v="0.16850000000000001"/>
    <n v="0.19750000000000001"/>
    <n v="0.31990000000000002"/>
    <n v="0.3508"/>
    <n v="0.3866"/>
    <n v="2.0587"/>
    <n v="0.1706"/>
    <n v="0.1993"/>
    <n v="0.3513"/>
    <n v="0.38700000000000001"/>
    <n v="0.32040000000000002"/>
  </r>
  <r>
    <s v="VC_Q5-H_02"/>
    <n v="2"/>
    <s v="VC202"/>
    <n v="598425.80000000005"/>
    <n v="5853112.7999999998"/>
    <n v="27.8"/>
    <m/>
    <s v="S5"/>
    <x v="4"/>
    <n v="4.54"/>
    <n v="5"/>
    <n v="32.340000000000003"/>
    <n v="32.799999999999997"/>
    <n v="32.57"/>
    <n v="33"/>
    <n v="4.54"/>
    <n v="5"/>
    <n v="32.340000000000003"/>
    <n v="32.799999999999997"/>
    <n v="32.57"/>
    <n v="33"/>
    <n v="0.6"/>
    <n v="98.59"/>
    <n v="0.82"/>
    <n v="0.73"/>
    <n v="0.43"/>
    <n v="0.82"/>
    <n v="0.52"/>
    <n v="2.1175000000000002"/>
    <n v="0.18920000000000001"/>
    <n v="0.23619999999999999"/>
    <n v="0.36780000000000002"/>
    <n v="0.40060000000000001"/>
    <n v="0.43630000000000002"/>
    <n v="2.0771000000000002"/>
    <n v="0.19259999999999999"/>
    <n v="0.2399"/>
    <n v="0.40010000000000001"/>
    <n v="0.43530000000000002"/>
    <n v="0.36759999999999998"/>
  </r>
  <r>
    <s v="VC_Q5-H_02"/>
    <n v="2"/>
    <s v="VC202"/>
    <n v="598425.80000000005"/>
    <n v="5853112.7999999998"/>
    <n v="27.8"/>
    <m/>
    <s v="S6"/>
    <x v="5"/>
    <n v="5.24"/>
    <n v="5.95"/>
    <n v="33.04"/>
    <n v="33.75"/>
    <n v="33.394999999999996"/>
    <n v="33"/>
    <n v="5"/>
    <n v="5.95"/>
    <n v="32.799999999999997"/>
    <n v="33.75"/>
    <n v="33.274999999999999"/>
    <n v="33"/>
    <n v="0.49"/>
    <n v="98.63"/>
    <n v="0.87"/>
    <n v="0.81"/>
    <n v="0.42"/>
    <n v="0.87"/>
    <n v="0.48"/>
    <n v="1.6825000000000001"/>
    <n v="0.2263"/>
    <n v="0.25640000000000002"/>
    <n v="0.34949999999999998"/>
    <n v="0.38069999999999998"/>
    <n v="0.41439999999999999"/>
    <n v="1.6516999999999999"/>
    <n v="0.2303"/>
    <n v="0.2571"/>
    <n v="0.38040000000000002"/>
    <n v="0.41370000000000001"/>
    <n v="0.34949999999999998"/>
  </r>
  <r>
    <s v="VC_Q5-H_03"/>
    <n v="2"/>
    <s v="VC203"/>
    <n v="597924.5"/>
    <n v="5853186.5"/>
    <n v="25.5"/>
    <m/>
    <s v="S1"/>
    <x v="0"/>
    <n v="0.22"/>
    <n v="0.61"/>
    <n v="25.72"/>
    <n v="26.11"/>
    <n v="25.914999999999999"/>
    <n v="26"/>
    <n v="0"/>
    <n v="0.61"/>
    <n v="25.5"/>
    <n v="26.11"/>
    <n v="25.805"/>
    <n v="26"/>
    <n v="0.08"/>
    <n v="99.31"/>
    <n v="0.61"/>
    <n v="0.39"/>
    <n v="0.25"/>
    <n v="0.61"/>
    <n v="0.47"/>
    <n v="1.8068"/>
    <n v="0.1704"/>
    <n v="0.19089999999999999"/>
    <n v="0.28620000000000001"/>
    <n v="0.308"/>
    <n v="0.33139999999999997"/>
    <n v="1.7795000000000001"/>
    <n v="0.17319999999999999"/>
    <n v="0.19209999999999999"/>
    <n v="0.30830000000000002"/>
    <n v="0.33160000000000001"/>
    <n v="0.28660000000000002"/>
  </r>
  <r>
    <s v="VC_Q5-H_03"/>
    <n v="2"/>
    <s v="VC203"/>
    <n v="597924.5"/>
    <n v="5853186.5"/>
    <n v="25.5"/>
    <m/>
    <s v="S1"/>
    <x v="1"/>
    <n v="0.61"/>
    <n v="1"/>
    <n v="26.11"/>
    <n v="26.5"/>
    <n v="26.305"/>
    <n v="26"/>
    <n v="0.61"/>
    <n v="1"/>
    <n v="26.11"/>
    <n v="26.5"/>
    <n v="26.305"/>
    <n v="26"/>
    <n v="0.32"/>
    <n v="98.8"/>
    <n v="0.89"/>
    <n v="0.69"/>
    <n v="0.34"/>
    <n v="0.89"/>
    <n v="0.54"/>
    <n v="1.7867999999999999"/>
    <n v="0.17460000000000001"/>
    <n v="0.19439999999999999"/>
    <n v="0.29049999999999998"/>
    <n v="0.31190000000000001"/>
    <n v="0.33500000000000002"/>
    <n v="1.7533000000000001"/>
    <n v="0.1779"/>
    <n v="0.1958"/>
    <n v="0.312"/>
    <n v="0.33489999999999998"/>
    <n v="0.29070000000000001"/>
  </r>
  <r>
    <s v="VC_Q5-H_03"/>
    <n v="2"/>
    <s v="VC203"/>
    <n v="597924.5"/>
    <n v="5853186.5"/>
    <n v="25.5"/>
    <m/>
    <s v="S2"/>
    <x v="2"/>
    <n v="1.56"/>
    <n v="2"/>
    <n v="27.06"/>
    <n v="27.5"/>
    <n v="27.28"/>
    <n v="27"/>
    <n v="1"/>
    <n v="2"/>
    <n v="26.5"/>
    <n v="27.5"/>
    <n v="27"/>
    <n v="27"/>
    <n v="0"/>
    <n v="99.39"/>
    <n v="0.61"/>
    <n v="0.59"/>
    <n v="0.24"/>
    <n v="0.61"/>
    <n v="0.26"/>
    <n v="1.6106"/>
    <n v="0.20300000000000001"/>
    <n v="0.23069999999999999"/>
    <n v="0.30659999999999998"/>
    <n v="0.32690000000000002"/>
    <n v="0.34860000000000002"/>
    <n v="1.6021000000000001"/>
    <n v="0.20419999999999999"/>
    <n v="0.2319"/>
    <n v="0.3271"/>
    <n v="0.34870000000000001"/>
    <n v="0.30690000000000001"/>
  </r>
  <r>
    <s v="VC_Q5-H_03"/>
    <n v="2"/>
    <s v="VC203"/>
    <n v="597924.5"/>
    <n v="5853186.5"/>
    <n v="25.5"/>
    <m/>
    <s v="S3"/>
    <x v="3"/>
    <n v="2.02"/>
    <n v="3"/>
    <n v="27.52"/>
    <n v="28.5"/>
    <n v="28.009999999999998"/>
    <n v="28"/>
    <n v="2"/>
    <n v="3"/>
    <n v="27.5"/>
    <n v="28.5"/>
    <n v="28"/>
    <n v="28"/>
    <n v="0"/>
    <n v="99.37"/>
    <n v="0.63"/>
    <n v="0.51"/>
    <n v="0.28999999999999998"/>
    <n v="0.63"/>
    <n v="0.42"/>
    <n v="1.7855000000000001"/>
    <n v="0.1726"/>
    <n v="0.1925"/>
    <n v="0.28710000000000002"/>
    <n v="0.30819999999999997"/>
    <n v="0.33090000000000003"/>
    <n v="1.7599"/>
    <n v="0.1754"/>
    <n v="0.19370000000000001"/>
    <n v="0.30859999999999999"/>
    <n v="0.33119999999999999"/>
    <n v="0.28749999999999998"/>
  </r>
  <r>
    <s v="VC_Q5-H_03"/>
    <n v="2"/>
    <s v="VC203"/>
    <n v="597924.5"/>
    <n v="5853186.5"/>
    <n v="25.5"/>
    <m/>
    <s v="S4"/>
    <x v="6"/>
    <n v="3"/>
    <n v="4"/>
    <n v="28.5"/>
    <n v="29.5"/>
    <n v="29"/>
    <n v="29"/>
    <n v="3"/>
    <n v="4"/>
    <n v="28.5"/>
    <n v="29.5"/>
    <n v="29"/>
    <n v="29"/>
    <n v="0.21"/>
    <n v="99.16"/>
    <n v="0.63"/>
    <n v="0.41"/>
    <n v="0.26"/>
    <n v="0.63"/>
    <n v="0.48"/>
    <n v="2.1682000000000001"/>
    <n v="0.16259999999999999"/>
    <n v="0.1895"/>
    <n v="0.31869999999999998"/>
    <n v="0.35249999999999998"/>
    <n v="0.39229999999999998"/>
    <n v="2.1392000000000002"/>
    <n v="0.16489999999999999"/>
    <n v="0.1913"/>
    <n v="0.35270000000000001"/>
    <n v="0.39229999999999998"/>
    <n v="0.31909999999999999"/>
  </r>
  <r>
    <s v="VC_Q5-H_03"/>
    <n v="2"/>
    <s v="VC203"/>
    <n v="597924.5"/>
    <n v="5853186.5"/>
    <n v="25.5"/>
    <m/>
    <s v="S5"/>
    <x v="4"/>
    <n v="4.03"/>
    <n v="5"/>
    <n v="29.53"/>
    <n v="30.5"/>
    <n v="30.015000000000001"/>
    <n v="30"/>
    <n v="4"/>
    <n v="5"/>
    <n v="29.5"/>
    <n v="30.5"/>
    <n v="30"/>
    <n v="30"/>
    <n v="0"/>
    <n v="99.48"/>
    <n v="0.52"/>
    <n v="0.39"/>
    <n v="0.25"/>
    <n v="0.52"/>
    <n v="0.38"/>
    <n v="1.6497999999999999"/>
    <n v="0.20300000000000001"/>
    <n v="0.24129999999999999"/>
    <n v="0.31340000000000001"/>
    <n v="0.33500000000000002"/>
    <n v="0.3604"/>
    <n v="1.6323000000000001"/>
    <n v="0.2054"/>
    <n v="0.24399999999999999"/>
    <n v="0.33529999999999999"/>
    <n v="0.3609"/>
    <n v="0.31380000000000002"/>
  </r>
  <r>
    <s v="VC_Q5-H_04"/>
    <n v="2"/>
    <s v="VC204"/>
    <n v="597946.6"/>
    <n v="5852379.4000000004"/>
    <n v="25.3"/>
    <m/>
    <s v="S1"/>
    <x v="0"/>
    <n v="0.3"/>
    <n v="0.65"/>
    <n v="25.6"/>
    <n v="25.95"/>
    <n v="25.774999999999999"/>
    <n v="26"/>
    <n v="0"/>
    <n v="0.65"/>
    <n v="25.3"/>
    <n v="25.95"/>
    <n v="25.625"/>
    <n v="26"/>
    <n v="0"/>
    <n v="99.28"/>
    <n v="0.72"/>
    <n v="0.44"/>
    <n v="0.3"/>
    <n v="0.72"/>
    <n v="0.57999999999999996"/>
    <n v="1.9430000000000001"/>
    <n v="0.14549999999999999"/>
    <n v="0.16350000000000001"/>
    <n v="0.25919999999999999"/>
    <n v="0.28270000000000001"/>
    <n v="0.30840000000000001"/>
    <n v="1.9232"/>
    <n v="0.14729999999999999"/>
    <n v="0.16539999999999999"/>
    <n v="0.2833"/>
    <n v="0.30880000000000002"/>
    <n v="0.25979999999999998"/>
  </r>
  <r>
    <s v="VC_Q5-H_04"/>
    <n v="2"/>
    <s v="VC204"/>
    <n v="597946.6"/>
    <n v="5852379.4000000004"/>
    <n v="25.3"/>
    <m/>
    <s v="S1"/>
    <x v="1"/>
    <n v="0.65"/>
    <n v="1"/>
    <n v="25.95"/>
    <n v="26.3"/>
    <n v="26.125"/>
    <n v="26"/>
    <n v="0.65"/>
    <n v="1"/>
    <n v="25.95"/>
    <n v="26.3"/>
    <n v="26.125"/>
    <n v="26"/>
    <n v="0.05"/>
    <n v="98.88"/>
    <n v="1.07"/>
    <n v="0.77"/>
    <n v="0.36"/>
    <n v="1.07"/>
    <n v="0.65"/>
    <n v="1.9710000000000001"/>
    <n v="0.14660000000000001"/>
    <n v="0.1656"/>
    <n v="0.26540000000000002"/>
    <n v="0.28889999999999999"/>
    <n v="0.3145"/>
    <n v="1.9469000000000001"/>
    <n v="0.1487"/>
    <n v="0.16789999999999999"/>
    <n v="0.28949999999999998"/>
    <n v="0.315"/>
    <n v="0.2661"/>
  </r>
  <r>
    <s v="VC_Q5-H_04"/>
    <n v="2"/>
    <s v="VC204"/>
    <n v="597946.6"/>
    <n v="5852379.4000000004"/>
    <n v="25.3"/>
    <m/>
    <s v="S2"/>
    <x v="3"/>
    <n v="1.07"/>
    <n v="2"/>
    <n v="26.37"/>
    <n v="27.3"/>
    <n v="26.835000000000001"/>
    <n v="27"/>
    <n v="1"/>
    <n v="3"/>
    <n v="26.3"/>
    <n v="28.3"/>
    <n v="27.3"/>
    <n v="27"/>
    <n v="0.35"/>
    <n v="98.87"/>
    <n v="0.79"/>
    <n v="0.51"/>
    <n v="0.33"/>
    <n v="0.79"/>
    <n v="0.61"/>
    <n v="1.931"/>
    <n v="0.14760000000000001"/>
    <n v="0.16689999999999999"/>
    <n v="0.26129999999999998"/>
    <n v="0.28499999999999998"/>
    <n v="0.31090000000000001"/>
    <n v="1.9075"/>
    <n v="0.14940000000000001"/>
    <n v="0.16880000000000001"/>
    <n v="0.28510000000000002"/>
    <n v="0.31069999999999998"/>
    <n v="0.2616"/>
  </r>
  <r>
    <s v="VC_Q5-H_04"/>
    <n v="2"/>
    <s v="VC204"/>
    <n v="597946.6"/>
    <n v="5852379.4000000004"/>
    <n v="25.3"/>
    <m/>
    <s v="S4"/>
    <x v="6"/>
    <n v="3.03"/>
    <n v="3.77"/>
    <n v="28.330000000000002"/>
    <n v="29.07"/>
    <n v="28.700000000000003"/>
    <n v="29"/>
    <n v="3"/>
    <n v="3.77"/>
    <n v="28.3"/>
    <n v="29.07"/>
    <n v="28.685000000000002"/>
    <n v="29"/>
    <n v="0.01"/>
    <n v="99.51"/>
    <n v="0.48"/>
    <n v="0.33"/>
    <n v="0.24"/>
    <n v="0.48"/>
    <n v="0.4"/>
    <n v="1.6519999999999999"/>
    <n v="0.18970000000000001"/>
    <n v="0.20899999999999999"/>
    <n v="0.29420000000000002"/>
    <n v="0.31330000000000002"/>
    <n v="0.33379999999999999"/>
    <n v="1.6422000000000001"/>
    <n v="0.191"/>
    <n v="0.21029999999999999"/>
    <n v="0.31359999999999999"/>
    <n v="0.33400000000000002"/>
    <n v="0.29449999999999998"/>
  </r>
  <r>
    <s v="VC_Q5-H_04"/>
    <n v="2"/>
    <s v="VC204"/>
    <n v="597946.6"/>
    <n v="5852379.4000000004"/>
    <n v="25.3"/>
    <m/>
    <s v="S5"/>
    <x v="4"/>
    <n v="4.03"/>
    <n v="4.2699999999999996"/>
    <n v="29.330000000000002"/>
    <n v="29.57"/>
    <n v="29.450000000000003"/>
    <n v="29"/>
    <n v="3.77"/>
    <n v="4.2699999999999996"/>
    <n v="29.07"/>
    <n v="29.57"/>
    <n v="29.32"/>
    <n v="29"/>
    <n v="0.03"/>
    <n v="99.65"/>
    <n v="0.33"/>
    <n v="0.28999999999999998"/>
    <n v="0.17"/>
    <n v="0.33"/>
    <n v="0.21"/>
    <n v="1.8582000000000001"/>
    <n v="0.28039999999999998"/>
    <n v="0.33610000000000001"/>
    <n v="0.4748"/>
    <n v="0.52100000000000002"/>
    <n v="0.57689999999999997"/>
    <n v="1.8469"/>
    <n v="0.2823"/>
    <n v="0.33829999999999999"/>
    <n v="0.52139999999999997"/>
    <n v="0.57709999999999995"/>
    <n v="0.47520000000000001"/>
  </r>
  <r>
    <s v="VC_Q5-H_04"/>
    <n v="2"/>
    <s v="VC204"/>
    <n v="597946.6"/>
    <n v="5852379.4000000004"/>
    <n v="25.3"/>
    <m/>
    <s v="S6"/>
    <x v="5"/>
    <n v="5.09"/>
    <n v="5.8"/>
    <n v="30.39"/>
    <n v="31.1"/>
    <n v="30.745000000000001"/>
    <n v="31"/>
    <n v="4.2699999999999996"/>
    <n v="5.8"/>
    <n v="29.57"/>
    <n v="31.1"/>
    <n v="30.335000000000001"/>
    <n v="30"/>
    <n v="0.04"/>
    <n v="99.18"/>
    <n v="0.77"/>
    <n v="0.63"/>
    <n v="0.37"/>
    <n v="0.77"/>
    <n v="0.51"/>
    <n v="1.8688"/>
    <n v="0.18210000000000001"/>
    <n v="0.2092"/>
    <n v="0.31419999999999998"/>
    <n v="0.34029999999999999"/>
    <n v="0.37480000000000002"/>
    <n v="1.8479000000000001"/>
    <n v="0.18440000000000001"/>
    <n v="0.2117"/>
    <n v="0.34079999999999999"/>
    <n v="0.37540000000000001"/>
    <n v="0.31480000000000002"/>
  </r>
  <r>
    <s v="VC_Q5-H_05"/>
    <n v="2"/>
    <s v="VC205"/>
    <n v="597676.69999999995"/>
    <n v="5851816.5999999996"/>
    <n v="23.6"/>
    <m/>
    <s v="S1"/>
    <x v="0"/>
    <n v="0.06"/>
    <n v="0.52"/>
    <n v="23.66"/>
    <n v="24.12"/>
    <n v="23.89"/>
    <n v="24"/>
    <n v="0"/>
    <n v="0.52"/>
    <n v="23.6"/>
    <n v="24.12"/>
    <n v="23.86"/>
    <n v="24"/>
    <n v="0.56000000000000005"/>
    <n v="98.54"/>
    <n v="0.9"/>
    <n v="0.65"/>
    <n v="0.5"/>
    <n v="0.9"/>
    <n v="0.75"/>
    <n v="1.4789000000000001"/>
    <n v="0.1459"/>
    <n v="0.16220000000000001"/>
    <n v="0.20619999999999999"/>
    <n v="0.21579999999999999"/>
    <n v="0.2258"/>
    <n v="1.4595"/>
    <n v="0.14779999999999999"/>
    <n v="0.1641"/>
    <n v="0.2157"/>
    <n v="0.22559999999999999"/>
    <n v="0.20630000000000001"/>
  </r>
  <r>
    <s v="VC_Q5-H_05"/>
    <n v="2"/>
    <s v="VC205"/>
    <n v="597676.69999999995"/>
    <n v="5851816.5999999996"/>
    <n v="23.6"/>
    <m/>
    <s v="S1"/>
    <x v="1"/>
    <n v="0.52"/>
    <n v="1"/>
    <n v="24.12"/>
    <n v="24.6"/>
    <n v="24.36"/>
    <n v="24"/>
    <n v="0.52"/>
    <n v="1"/>
    <n v="24.12"/>
    <n v="24.6"/>
    <n v="24.36"/>
    <n v="24"/>
    <n v="1.18"/>
    <n v="96.84"/>
    <n v="1.98"/>
    <n v="1.67"/>
    <n v="1.17"/>
    <n v="1.98"/>
    <n v="1.48"/>
    <n v="1.5008999999999999"/>
    <n v="0.14319999999999999"/>
    <n v="0.1585"/>
    <n v="0.20530000000000001"/>
    <n v="0.215"/>
    <n v="0.22500000000000001"/>
    <n v="1.4636"/>
    <n v="0.14680000000000001"/>
    <n v="0.16200000000000001"/>
    <n v="0.21479999999999999"/>
    <n v="0.22459999999999999"/>
    <n v="0.20549999999999999"/>
  </r>
  <r>
    <s v="VC_Q5-H_05"/>
    <n v="2"/>
    <s v="VC205"/>
    <n v="597676.69999999995"/>
    <n v="5851816.5999999996"/>
    <n v="23.6"/>
    <m/>
    <s v="S2"/>
    <x v="2"/>
    <n v="1.05"/>
    <n v="2"/>
    <n v="24.650000000000002"/>
    <n v="25.6"/>
    <n v="25.125"/>
    <n v="25"/>
    <n v="1"/>
    <n v="2"/>
    <n v="24.6"/>
    <n v="25.6"/>
    <n v="25.1"/>
    <n v="25"/>
    <n v="0.28000000000000003"/>
    <n v="98.54"/>
    <n v="1.17"/>
    <n v="0.96"/>
    <n v="0.67"/>
    <n v="1.17"/>
    <n v="0.88"/>
    <n v="1.5871"/>
    <n v="0.14230000000000001"/>
    <n v="0.15559999999999999"/>
    <n v="0.21229999999999999"/>
    <n v="0.2258"/>
    <n v="0.24010000000000001"/>
    <n v="1.5673999999999999"/>
    <n v="0.14419999999999999"/>
    <n v="0.1575"/>
    <n v="0.2261"/>
    <n v="0.2402"/>
    <n v="0.2127"/>
  </r>
  <r>
    <s v="VC_Q5-H_05"/>
    <n v="2"/>
    <s v="VC205"/>
    <n v="597676.69999999995"/>
    <n v="5851816.5999999996"/>
    <n v="23.6"/>
    <m/>
    <s v="S3"/>
    <x v="3"/>
    <n v="2.16"/>
    <n v="3"/>
    <n v="25.76"/>
    <n v="26.6"/>
    <n v="26.18"/>
    <n v="26"/>
    <n v="2"/>
    <n v="3"/>
    <n v="25.6"/>
    <n v="26.6"/>
    <n v="26.1"/>
    <n v="26"/>
    <n v="0.04"/>
    <n v="98.58"/>
    <n v="1.39"/>
    <n v="1.07"/>
    <n v="0.67"/>
    <n v="1.39"/>
    <n v="0.99"/>
    <n v="1.8281000000000001"/>
    <n v="0.1363"/>
    <n v="0.15010000000000001"/>
    <n v="0.22739999999999999"/>
    <n v="0.2492"/>
    <n v="0.28060000000000002"/>
    <n v="1.8032999999999999"/>
    <n v="0.13869999999999999"/>
    <n v="0.1525"/>
    <n v="0.25"/>
    <n v="0.28149999999999997"/>
    <n v="0.22839999999999999"/>
  </r>
  <r>
    <s v="VC_Q5-H_05"/>
    <n v="2"/>
    <s v="VC205"/>
    <n v="597676.69999999995"/>
    <n v="5851816.5999999996"/>
    <n v="23.6"/>
    <m/>
    <s v="S4"/>
    <x v="6"/>
    <n v="3.32"/>
    <n v="4"/>
    <n v="26.92"/>
    <n v="27.6"/>
    <n v="27.26"/>
    <n v="27"/>
    <n v="3"/>
    <n v="4"/>
    <n v="26.6"/>
    <n v="27.6"/>
    <n v="27.1"/>
    <n v="27"/>
    <n v="0.03"/>
    <n v="98.54"/>
    <n v="1.44"/>
    <n v="1.23"/>
    <n v="0.82"/>
    <n v="1.44"/>
    <n v="1.02"/>
    <n v="1.8306"/>
    <n v="0.13600000000000001"/>
    <n v="0.14949999999999999"/>
    <n v="0.2271"/>
    <n v="0.249"/>
    <n v="0.27910000000000001"/>
    <n v="1.8055000000000001"/>
    <n v="0.1384"/>
    <n v="0.152"/>
    <n v="0.24990000000000001"/>
    <n v="0.28000000000000003"/>
    <n v="0.2281"/>
  </r>
  <r>
    <s v="VC_Q5-H_05"/>
    <n v="2"/>
    <s v="VC205"/>
    <n v="597676.69999999995"/>
    <n v="5851816.5999999996"/>
    <n v="23.6"/>
    <m/>
    <s v="S5A"/>
    <x v="4"/>
    <n v="4.03"/>
    <n v="5"/>
    <n v="27.630000000000003"/>
    <n v="28.6"/>
    <n v="28.115000000000002"/>
    <n v="28"/>
    <n v="4"/>
    <n v="5.18"/>
    <n v="27.6"/>
    <n v="28.78"/>
    <n v="28.19"/>
    <n v="28"/>
    <n v="0"/>
    <n v="99.04"/>
    <n v="0.96"/>
    <n v="0.8"/>
    <n v="0.62"/>
    <n v="0.96"/>
    <n v="0.79"/>
    <n v="1.6887000000000001"/>
    <n v="0.1431"/>
    <n v="0.15989999999999999"/>
    <n v="0.22439999999999999"/>
    <n v="0.2417"/>
    <n v="0.26640000000000003"/>
    <n v="1.6664000000000001"/>
    <n v="0.1454"/>
    <n v="0.16220000000000001"/>
    <n v="0.2422"/>
    <n v="0.26719999999999999"/>
    <n v="0.22500000000000001"/>
  </r>
  <r>
    <s v="VC_Q5-H_06"/>
    <n v="2"/>
    <s v="VC206"/>
    <n v="597966.80000000005"/>
    <n v="5851811.2000000002"/>
    <n v="24.8"/>
    <m/>
    <s v="S1"/>
    <x v="1"/>
    <n v="0.55000000000000004"/>
    <n v="1"/>
    <n v="25.35"/>
    <n v="25.8"/>
    <n v="25.575000000000003"/>
    <n v="26"/>
    <n v="0"/>
    <n v="1"/>
    <n v="24.8"/>
    <n v="25.8"/>
    <n v="25.3"/>
    <n v="25"/>
    <n v="0.03"/>
    <n v="98.56"/>
    <n v="1.41"/>
    <n v="1.17"/>
    <n v="0.55000000000000004"/>
    <n v="1.41"/>
    <n v="0.79"/>
    <n v="1.6371"/>
    <n v="0.1356"/>
    <n v="0.1452"/>
    <n v="0.20669999999999999"/>
    <n v="0.222"/>
    <n v="0.2384"/>
    <n v="1.6247"/>
    <n v="0.13689999999999999"/>
    <n v="0.14660000000000001"/>
    <n v="0.2225"/>
    <n v="0.23880000000000001"/>
    <n v="0.20730000000000001"/>
  </r>
  <r>
    <s v="VC_Q5-H_06"/>
    <n v="2"/>
    <s v="VC206"/>
    <n v="597966.80000000005"/>
    <n v="5851811.2000000002"/>
    <n v="24.8"/>
    <m/>
    <s v="S2"/>
    <x v="2"/>
    <n v="1.1399999999999999"/>
    <n v="2"/>
    <n v="25.94"/>
    <n v="26.8"/>
    <n v="26.37"/>
    <n v="26"/>
    <n v="1"/>
    <n v="2"/>
    <n v="25.8"/>
    <n v="26.8"/>
    <n v="26.3"/>
    <n v="26"/>
    <n v="0.03"/>
    <n v="98.9"/>
    <n v="1.07"/>
    <n v="0.75"/>
    <n v="0.46"/>
    <n v="1.07"/>
    <n v="0.78"/>
    <n v="1.6535"/>
    <n v="0.1366"/>
    <n v="0.14699999999999999"/>
    <n v="0.21"/>
    <n v="0.22589999999999999"/>
    <n v="0.24299999999999999"/>
    <n v="1.6402000000000001"/>
    <n v="0.13800000000000001"/>
    <n v="0.1484"/>
    <n v="0.22639999999999999"/>
    <n v="0.24340000000000001"/>
    <n v="0.21060000000000001"/>
  </r>
  <r>
    <s v="VC_Q5-H_06"/>
    <n v="2"/>
    <s v="VC206"/>
    <n v="597966.80000000005"/>
    <n v="5851811.2000000002"/>
    <n v="24.8"/>
    <m/>
    <s v="S3"/>
    <x v="3"/>
    <n v="2.0299999999999998"/>
    <n v="3"/>
    <n v="26.830000000000002"/>
    <n v="27.8"/>
    <n v="27.315000000000001"/>
    <n v="27"/>
    <n v="2"/>
    <n v="3"/>
    <n v="26.8"/>
    <n v="27.8"/>
    <n v="27.3"/>
    <n v="27"/>
    <n v="0.35"/>
    <n v="98.72"/>
    <n v="0.94"/>
    <n v="0.69"/>
    <n v="0.44"/>
    <n v="0.94"/>
    <n v="0.68"/>
    <n v="1.6897"/>
    <n v="0.13969999999999999"/>
    <n v="0.15190000000000001"/>
    <n v="0.21840000000000001"/>
    <n v="0.2361"/>
    <n v="0.2586"/>
    <n v="1.6741999999999999"/>
    <n v="0.1411"/>
    <n v="0.15329999999999999"/>
    <n v="0.23619999999999999"/>
    <n v="0.25850000000000001"/>
    <n v="0.21870000000000001"/>
  </r>
  <r>
    <s v="VC_Q5-H_06"/>
    <n v="2"/>
    <s v="VC206"/>
    <n v="597966.80000000005"/>
    <n v="5851811.2000000002"/>
    <n v="24.8"/>
    <m/>
    <s v="S4A"/>
    <x v="6"/>
    <n v="3.06"/>
    <n v="4"/>
    <n v="27.86"/>
    <n v="28.8"/>
    <n v="28.33"/>
    <n v="28"/>
    <n v="3"/>
    <n v="4"/>
    <n v="27.8"/>
    <n v="28.8"/>
    <n v="28.3"/>
    <n v="28"/>
    <n v="2.79"/>
    <n v="96.48"/>
    <n v="0.73"/>
    <n v="0.61"/>
    <n v="0.52"/>
    <n v="0.73"/>
    <n v="0.65"/>
    <n v="1.6789000000000001"/>
    <n v="0.14000000000000001"/>
    <n v="0.1522"/>
    <n v="0.21779999999999999"/>
    <n v="0.2351"/>
    <n v="0.25659999999999999"/>
    <n v="1.6525000000000001"/>
    <n v="0.14069999999999999"/>
    <n v="0.15260000000000001"/>
    <n v="0.23250000000000001"/>
    <n v="0.25059999999999999"/>
    <n v="0.216"/>
  </r>
  <r>
    <s v="VC_Q5-H_06"/>
    <n v="2"/>
    <s v="VC206"/>
    <n v="597966.80000000005"/>
    <n v="5851811.2000000002"/>
    <n v="24.8"/>
    <m/>
    <s v="S4B"/>
    <x v="4"/>
    <n v="4"/>
    <n v="4.4000000000000004"/>
    <n v="28.8"/>
    <n v="29.200000000000003"/>
    <n v="29"/>
    <n v="29"/>
    <n v="4"/>
    <n v="4.4000000000000004"/>
    <n v="28.8"/>
    <n v="29.200000000000003"/>
    <n v="29"/>
    <n v="29"/>
    <n v="2.66"/>
    <n v="96.12"/>
    <n v="1.21"/>
    <n v="1.07"/>
    <n v="0.51"/>
    <n v="1.21"/>
    <n v="0.65"/>
    <n v="1.6476"/>
    <n v="0.13739999999999999"/>
    <n v="0.1477"/>
    <n v="0.2104"/>
    <n v="0.22639999999999999"/>
    <n v="0.24360000000000001"/>
    <n v="1.6240000000000001"/>
    <n v="0.13800000000000001"/>
    <n v="0.14799999999999999"/>
    <n v="0.22420000000000001"/>
    <n v="0.24060000000000001"/>
    <n v="0.2089"/>
  </r>
  <r>
    <s v="VC_Q5-H_07"/>
    <n v="2"/>
    <s v="VC207"/>
    <n v="598733.4"/>
    <n v="5851814.5999999996"/>
    <n v="23.7"/>
    <m/>
    <s v="S1"/>
    <x v="0"/>
    <n v="0.1"/>
    <n v="0.52"/>
    <n v="23.8"/>
    <n v="24.22"/>
    <n v="24.009999999999998"/>
    <n v="24"/>
    <n v="0"/>
    <n v="0.52"/>
    <n v="23.7"/>
    <n v="24.22"/>
    <n v="23.96"/>
    <n v="24"/>
    <n v="0.35"/>
    <n v="97.92"/>
    <n v="1.73"/>
    <n v="1.31"/>
    <n v="1.1200000000000001"/>
    <n v="1.73"/>
    <n v="1.54"/>
    <n v="1.593"/>
    <n v="0.1399"/>
    <n v="0.1525"/>
    <n v="0.20979999999999999"/>
    <n v="0.2228"/>
    <n v="0.2366"/>
    <n v="1.5601"/>
    <n v="0.1431"/>
    <n v="0.15579999999999999"/>
    <n v="0.2233"/>
    <n v="0.2369"/>
    <n v="0.21049999999999999"/>
  </r>
  <r>
    <s v="VC_Q5-H_07"/>
    <n v="2"/>
    <s v="VC207"/>
    <n v="598733.4"/>
    <n v="5851814.5999999996"/>
    <n v="23.7"/>
    <m/>
    <s v="S1"/>
    <x v="1"/>
    <n v="0.52"/>
    <n v="1"/>
    <n v="24.22"/>
    <n v="24.7"/>
    <n v="24.46"/>
    <n v="24"/>
    <n v="0.52"/>
    <n v="1.39"/>
    <n v="24.22"/>
    <n v="25.09"/>
    <n v="24.655000000000001"/>
    <n v="25"/>
    <n v="0.26"/>
    <n v="97.83"/>
    <n v="1.9"/>
    <n v="1.6"/>
    <n v="1.02"/>
    <n v="1.9"/>
    <n v="1.33"/>
    <n v="1.6254999999999999"/>
    <n v="0.13850000000000001"/>
    <n v="0.15010000000000001"/>
    <n v="0.2107"/>
    <n v="0.22520000000000001"/>
    <n v="0.24060000000000001"/>
    <n v="1.599"/>
    <n v="0.14119999999999999"/>
    <n v="0.15279999999999999"/>
    <n v="0.22570000000000001"/>
    <n v="0.2409"/>
    <n v="0.21149999999999999"/>
  </r>
  <r>
    <s v="VC_Q5-H_07"/>
    <n v="2"/>
    <s v="VC207"/>
    <n v="598733.4"/>
    <n v="5851814.5999999996"/>
    <n v="23.7"/>
    <m/>
    <s v="S2"/>
    <x v="2"/>
    <n v="1.39"/>
    <n v="2"/>
    <n v="25.09"/>
    <n v="25.7"/>
    <n v="25.395"/>
    <n v="25"/>
    <n v="1.39"/>
    <n v="2"/>
    <n v="25.09"/>
    <n v="25.7"/>
    <n v="25.395"/>
    <n v="25"/>
    <n v="0.06"/>
    <n v="98.28"/>
    <n v="1.66"/>
    <n v="1.01"/>
    <n v="0.6"/>
    <n v="1.66"/>
    <n v="1.25"/>
    <n v="1.4113"/>
    <n v="0.15759999999999999"/>
    <n v="0.18129999999999999"/>
    <n v="0.21260000000000001"/>
    <n v="0.2225"/>
    <n v="0.23280000000000001"/>
    <n v="1.355"/>
    <n v="0.16450000000000001"/>
    <n v="0.18210000000000001"/>
    <n v="0.22289999999999999"/>
    <n v="0.23319999999999999"/>
    <n v="0.21310000000000001"/>
  </r>
  <r>
    <s v="VC_Q5-H_07"/>
    <n v="2"/>
    <s v="VC207"/>
    <n v="598733.4"/>
    <n v="5851814.5999999996"/>
    <n v="23.7"/>
    <m/>
    <s v="S5"/>
    <x v="4"/>
    <n v="4.04"/>
    <n v="5"/>
    <n v="27.74"/>
    <n v="28.7"/>
    <n v="28.22"/>
    <n v="28"/>
    <n v="4.04"/>
    <n v="5"/>
    <n v="27.74"/>
    <n v="28.7"/>
    <n v="28.22"/>
    <n v="28"/>
    <n v="0"/>
    <n v="98.35"/>
    <n v="1.65"/>
    <n v="1.03"/>
    <n v="0.6"/>
    <n v="1.65"/>
    <n v="1.23"/>
    <n v="1.6247"/>
    <n v="0.1343"/>
    <n v="0.14360000000000001"/>
    <n v="0.20369999999999999"/>
    <n v="0.21829999999999999"/>
    <n v="0.23380000000000001"/>
    <n v="1.6064000000000001"/>
    <n v="0.1363"/>
    <n v="0.14560000000000001"/>
    <n v="0.219"/>
    <n v="0.2344"/>
    <n v="0.2046"/>
  </r>
  <r>
    <s v="VC_Q5-H_07"/>
    <n v="2"/>
    <s v="VC207"/>
    <n v="598733.4"/>
    <n v="5851814.5999999996"/>
    <n v="23.7"/>
    <m/>
    <s v="S3"/>
    <x v="3"/>
    <n v="2.0499999999999998"/>
    <n v="3"/>
    <n v="25.75"/>
    <n v="26.7"/>
    <n v="26.225000000000001"/>
    <n v="26"/>
    <n v="2"/>
    <n v="3"/>
    <n v="25.7"/>
    <n v="26.7"/>
    <n v="26.2"/>
    <n v="26"/>
    <n v="7.0000000000000007E-2"/>
    <n v="98.59"/>
    <n v="1.34"/>
    <n v="0.86"/>
    <n v="0.69"/>
    <n v="1.34"/>
    <n v="1.1599999999999999"/>
    <n v="1.7761"/>
    <n v="0.18490000000000001"/>
    <n v="0.20749999999999999"/>
    <n v="0.30509999999999998"/>
    <n v="0.32850000000000001"/>
    <n v="0.35370000000000001"/>
    <n v="1.7395"/>
    <n v="0.18940000000000001"/>
    <n v="0.2122"/>
    <n v="0.32950000000000002"/>
    <n v="0.35449999999999998"/>
    <n v="0.30630000000000002"/>
  </r>
  <r>
    <s v="VC_Q5-H_07"/>
    <n v="2"/>
    <s v="VC207"/>
    <n v="598733.4"/>
    <n v="5851814.5999999996"/>
    <n v="23.7"/>
    <m/>
    <s v="S4"/>
    <x v="6"/>
    <n v="3.04"/>
    <n v="4"/>
    <n v="26.74"/>
    <n v="27.7"/>
    <n v="27.22"/>
    <n v="27"/>
    <n v="3"/>
    <n v="4"/>
    <n v="26.7"/>
    <n v="27.7"/>
    <n v="27.2"/>
    <n v="27"/>
    <n v="0"/>
    <n v="98.63"/>
    <n v="1.37"/>
    <n v="0.66"/>
    <n v="0.37"/>
    <n v="1.37"/>
    <n v="1.08"/>
    <n v="2.0030999999999999"/>
    <n v="0.1462"/>
    <n v="0.1668"/>
    <n v="0.27139999999999997"/>
    <n v="0.29289999999999999"/>
    <n v="0.316"/>
    <n v="1.9590000000000001"/>
    <n v="0.15"/>
    <n v="0.17080000000000001"/>
    <n v="0.29380000000000001"/>
    <n v="0.31680000000000003"/>
    <n v="0.27250000000000002"/>
  </r>
  <r>
    <s v="VC_Q5-H_07"/>
    <n v="2"/>
    <s v="VC207"/>
    <n v="598733.4"/>
    <n v="5851814.5999999996"/>
    <n v="23.7"/>
    <m/>
    <s v="S6"/>
    <x v="5"/>
    <n v="5.05"/>
    <n v="5.6"/>
    <n v="28.75"/>
    <n v="29.299999999999997"/>
    <n v="29.024999999999999"/>
    <n v="29"/>
    <n v="5"/>
    <n v="5.6"/>
    <n v="28.7"/>
    <n v="29.299999999999997"/>
    <n v="29"/>
    <n v="29"/>
    <n v="0"/>
    <n v="98.29"/>
    <n v="1.71"/>
    <n v="1.1399999999999999"/>
    <n v="0.55000000000000004"/>
    <n v="1.71"/>
    <n v="1.1200000000000001"/>
    <n v="1.6331"/>
    <n v="0.13769999999999999"/>
    <n v="0.1492"/>
    <n v="0.21029999999999999"/>
    <n v="0.22489999999999999"/>
    <n v="0.2404"/>
    <n v="1.6116999999999999"/>
    <n v="0.1399"/>
    <n v="0.1515"/>
    <n v="0.22559999999999999"/>
    <n v="0.24099999999999999"/>
    <n v="0.21110000000000001"/>
  </r>
  <r>
    <s v="VC_Q5-H_08"/>
    <n v="2"/>
    <s v="VC208"/>
    <n v="598952.69999999995"/>
    <n v="5851811.2999999998"/>
    <n v="23.9"/>
    <m/>
    <s v="S1"/>
    <x v="0"/>
    <n v="0.13"/>
    <n v="0.51"/>
    <n v="24.029999999999998"/>
    <n v="24.41"/>
    <n v="24.22"/>
    <n v="24"/>
    <n v="0"/>
    <n v="0.51"/>
    <n v="23.9"/>
    <n v="24.41"/>
    <n v="24.155000000000001"/>
    <n v="24"/>
    <n v="0.11"/>
    <n v="96.97"/>
    <n v="2.92"/>
    <n v="2.2599999999999998"/>
    <n v="1.98"/>
    <n v="2.92"/>
    <n v="2.65"/>
    <n v="1.6339999999999999"/>
    <n v="0.13439999999999999"/>
    <n v="0.14480000000000001"/>
    <n v="0.20569999999999999"/>
    <n v="0.21959999999999999"/>
    <n v="0.2344"/>
    <n v="1.5874999999999999"/>
    <n v="0.13919999999999999"/>
    <n v="0.1497"/>
    <n v="0.221"/>
    <n v="0.23549999999999999"/>
    <n v="0.2074"/>
  </r>
  <r>
    <s v="VC_Q5-H_08"/>
    <n v="2"/>
    <s v="VC208"/>
    <n v="598952.69999999995"/>
    <n v="5851811.2999999998"/>
    <n v="23.9"/>
    <m/>
    <s v="S1"/>
    <x v="1"/>
    <n v="0.51"/>
    <n v="1"/>
    <n v="24.41"/>
    <n v="24.9"/>
    <n v="24.655000000000001"/>
    <n v="25"/>
    <n v="0.51"/>
    <n v="1"/>
    <n v="24.41"/>
    <n v="24.9"/>
    <n v="24.655000000000001"/>
    <n v="25"/>
    <n v="7.0000000000000007E-2"/>
    <n v="97.64"/>
    <n v="2.29"/>
    <n v="1.86"/>
    <n v="1.33"/>
    <n v="2.29"/>
    <n v="1.76"/>
    <n v="1.6059000000000001"/>
    <n v="0.1361"/>
    <n v="0.14649999999999999"/>
    <n v="0.20530000000000001"/>
    <n v="0.21859999999999999"/>
    <n v="0.23280000000000001"/>
    <n v="1.5759000000000001"/>
    <n v="0.13930000000000001"/>
    <n v="0.1497"/>
    <n v="0.2195"/>
    <n v="0.23350000000000001"/>
    <n v="0.2064"/>
  </r>
  <r>
    <s v="VC_Q5-H_08"/>
    <n v="2"/>
    <s v="VC208"/>
    <n v="598952.69999999995"/>
    <n v="5851811.2999999998"/>
    <n v="23.9"/>
    <m/>
    <s v="S2"/>
    <x v="2"/>
    <n v="1.04"/>
    <n v="1.45"/>
    <n v="24.939999999999998"/>
    <n v="25.349999999999998"/>
    <n v="25.144999999999996"/>
    <n v="25"/>
    <n v="1"/>
    <n v="2"/>
    <n v="24.9"/>
    <n v="25.9"/>
    <n v="25.4"/>
    <n v="25"/>
    <n v="4.7"/>
    <n v="93.64"/>
    <n v="1.66"/>
    <n v="1.01"/>
    <n v="0.91"/>
    <n v="1.66"/>
    <n v="1.56"/>
    <n v="1.7497"/>
    <n v="0.14269999999999999"/>
    <n v="0.15809999999999999"/>
    <n v="0.22950000000000001"/>
    <n v="0.24979999999999999"/>
    <n v="0.3044"/>
    <n v="1.6851"/>
    <n v="0.14549999999999999"/>
    <n v="0.16009999999999999"/>
    <n v="0.24510000000000001"/>
    <n v="0.2878"/>
    <n v="0.22639999999999999"/>
  </r>
  <r>
    <s v="VC_Q5-H_08"/>
    <n v="2"/>
    <s v="VC208"/>
    <n v="598952.69999999995"/>
    <n v="5851811.2999999998"/>
    <n v="23.9"/>
    <m/>
    <s v="S3"/>
    <x v="3"/>
    <n v="2.04"/>
    <n v="3"/>
    <n v="25.939999999999998"/>
    <n v="26.9"/>
    <n v="26.419999999999998"/>
    <n v="26"/>
    <n v="2"/>
    <n v="3"/>
    <n v="25.9"/>
    <n v="26.9"/>
    <n v="26.4"/>
    <n v="26"/>
    <n v="0.94"/>
    <n v="97.71"/>
    <n v="1.35"/>
    <n v="0.94"/>
    <n v="0.71"/>
    <n v="1.35"/>
    <n v="1.1200000000000001"/>
    <n v="1.9391"/>
    <n v="0.16020000000000001"/>
    <n v="0.19109999999999999"/>
    <n v="0.29170000000000001"/>
    <n v="0.31069999999999998"/>
    <n v="0.33100000000000002"/>
    <n v="1.8613999999999999"/>
    <n v="0.1668"/>
    <n v="0.1951"/>
    <n v="0.3105"/>
    <n v="0.33029999999999998"/>
    <n v="0.29189999999999999"/>
  </r>
  <r>
    <s v="VC_Q5-H_08"/>
    <n v="2"/>
    <s v="VC208"/>
    <n v="598952.69999999995"/>
    <n v="5851811.2999999998"/>
    <n v="23.9"/>
    <m/>
    <s v="S4"/>
    <x v="6"/>
    <n v="3.05"/>
    <n v="4"/>
    <n v="26.95"/>
    <n v="27.9"/>
    <n v="27.424999999999997"/>
    <n v="27"/>
    <n v="3"/>
    <n v="4"/>
    <n v="26.9"/>
    <n v="27.9"/>
    <n v="27.4"/>
    <n v="27"/>
    <n v="0"/>
    <n v="98.73"/>
    <n v="1.27"/>
    <n v="0.9"/>
    <n v="0.65"/>
    <n v="1.27"/>
    <n v="1.02"/>
    <n v="1.5959000000000001"/>
    <n v="0.1978"/>
    <n v="0.2346"/>
    <n v="0.29899999999999999"/>
    <n v="0.31559999999999999"/>
    <n v="0.3332"/>
    <n v="1.5503"/>
    <n v="0.2041"/>
    <n v="0.24160000000000001"/>
    <n v="0.31630000000000003"/>
    <n v="0.3337"/>
    <n v="0.2999"/>
  </r>
  <r>
    <s v="VC_Q5-H_08"/>
    <n v="2"/>
    <s v="VC208"/>
    <n v="598952.69999999995"/>
    <n v="5851811.2999999998"/>
    <n v="23.9"/>
    <m/>
    <s v="S5"/>
    <x v="4"/>
    <n v="4"/>
    <n v="5"/>
    <n v="27.9"/>
    <n v="28.9"/>
    <n v="28.4"/>
    <n v="28"/>
    <n v="4"/>
    <n v="5"/>
    <n v="27.9"/>
    <n v="28.9"/>
    <n v="28.4"/>
    <n v="28"/>
    <n v="0.06"/>
    <n v="98.65"/>
    <n v="1.29"/>
    <n v="0.83"/>
    <n v="0.51"/>
    <n v="1.29"/>
    <n v="0.98"/>
    <n v="2.1194999999999999"/>
    <n v="0.15820000000000001"/>
    <n v="0.18820000000000001"/>
    <n v="0.30819999999999997"/>
    <n v="0.3352"/>
    <n v="0.37040000000000001"/>
    <n v="2.0566"/>
    <n v="0.16350000000000001"/>
    <n v="0.19259999999999999"/>
    <n v="0.3362"/>
    <n v="0.37159999999999999"/>
    <n v="0.30940000000000001"/>
  </r>
  <r>
    <s v="VC_Q5-H_08"/>
    <n v="2"/>
    <s v="VC208"/>
    <n v="598952.69999999995"/>
    <n v="5851811.2999999998"/>
    <n v="23.9"/>
    <m/>
    <s v="S6"/>
    <x v="5"/>
    <n v="5.04"/>
    <n v="6"/>
    <n v="28.939999999999998"/>
    <n v="29.9"/>
    <n v="29.419999999999998"/>
    <n v="29"/>
    <n v="5.04"/>
    <n v="6"/>
    <n v="28.939999999999998"/>
    <n v="29.9"/>
    <n v="29.419999999999998"/>
    <n v="29"/>
    <n v="0"/>
    <n v="98.94"/>
    <n v="1.06"/>
    <n v="0.95"/>
    <n v="0.63"/>
    <n v="1.06"/>
    <n v="0.75"/>
    <n v="1.6168"/>
    <n v="0.12790000000000001"/>
    <n v="0.13389999999999999"/>
    <n v="0.18579999999999999"/>
    <n v="0.20669999999999999"/>
    <n v="0.23"/>
    <n v="1.6120000000000001"/>
    <n v="0.12859999999999999"/>
    <n v="0.13469999999999999"/>
    <n v="0.2074"/>
    <n v="0.2306"/>
    <n v="0.1865"/>
  </r>
  <r>
    <s v="VC_Q5-H_09"/>
    <n v="2"/>
    <s v="VC209"/>
    <n v="598373.4"/>
    <n v="5853567"/>
    <n v="26.4"/>
    <m/>
    <s v="S1"/>
    <x v="0"/>
    <n v="0.08"/>
    <n v="0.41"/>
    <n v="26.479999999999997"/>
    <n v="26.81"/>
    <n v="26.644999999999996"/>
    <n v="27"/>
    <n v="0"/>
    <n v="0.41"/>
    <n v="26.4"/>
    <n v="26.81"/>
    <n v="26.604999999999997"/>
    <n v="27"/>
    <n v="0.02"/>
    <n v="98.95"/>
    <n v="1.03"/>
    <n v="0.73"/>
    <n v="0.57999999999999996"/>
    <n v="1.03"/>
    <n v="0.88"/>
    <n v="1.6393"/>
    <n v="0.13980000000000001"/>
    <n v="0.1535"/>
    <n v="0.2145"/>
    <n v="0.22919999999999999"/>
    <n v="0.24490000000000001"/>
    <n v="1.6189"/>
    <n v="0.1419"/>
    <n v="0.15570000000000001"/>
    <n v="0.22969999999999999"/>
    <n v="0.24529999999999999"/>
    <n v="0.21510000000000001"/>
  </r>
  <r>
    <s v="VC_Q5-H_09"/>
    <n v="2"/>
    <s v="VC209"/>
    <n v="598373.4"/>
    <n v="5853567"/>
    <n v="26.4"/>
    <m/>
    <s v="S1"/>
    <x v="1"/>
    <n v="0.41"/>
    <n v="1"/>
    <n v="26.81"/>
    <n v="27.4"/>
    <n v="27.104999999999997"/>
    <n v="27"/>
    <n v="0.41"/>
    <n v="1"/>
    <n v="26.81"/>
    <n v="27.4"/>
    <n v="27.104999999999997"/>
    <n v="27"/>
    <n v="0"/>
    <n v="98.75"/>
    <n v="1.25"/>
    <n v="1.01"/>
    <n v="0.6"/>
    <n v="1.25"/>
    <n v="0.84"/>
    <n v="1.593"/>
    <n v="0.1525"/>
    <n v="0.17610000000000001"/>
    <n v="0.22700000000000001"/>
    <n v="0.2429"/>
    <n v="0.26900000000000002"/>
    <n v="1.5621"/>
    <n v="0.15579999999999999"/>
    <n v="0.17979999999999999"/>
    <n v="0.24340000000000001"/>
    <n v="0.26989999999999997"/>
    <n v="0.2276"/>
  </r>
  <r>
    <s v="VC_Q5-H_09"/>
    <n v="2"/>
    <s v="VC209"/>
    <n v="598373.4"/>
    <n v="5853567"/>
    <n v="26.4"/>
    <m/>
    <s v="S2"/>
    <x v="2"/>
    <n v="1.04"/>
    <n v="2"/>
    <n v="27.439999999999998"/>
    <n v="28.4"/>
    <n v="27.919999999999998"/>
    <n v="28"/>
    <n v="1"/>
    <n v="2"/>
    <n v="27.4"/>
    <n v="28.4"/>
    <n v="27.9"/>
    <n v="28"/>
    <n v="0"/>
    <n v="98.86"/>
    <n v="1.1399999999999999"/>
    <n v="0.86"/>
    <n v="0.6"/>
    <n v="1.1399999999999999"/>
    <n v="0.87"/>
    <n v="1.6785000000000001"/>
    <n v="0.14230000000000001"/>
    <n v="0.1573"/>
    <n v="0.22189999999999999"/>
    <n v="0.2389"/>
    <n v="0.26300000000000001"/>
    <n v="1.6566000000000001"/>
    <n v="0.14460000000000001"/>
    <n v="0.15970000000000001"/>
    <n v="0.23949999999999999"/>
    <n v="0.26390000000000002"/>
    <n v="0.22259999999999999"/>
  </r>
  <r>
    <s v="VC_Q5-H_09"/>
    <n v="2"/>
    <s v="VC209"/>
    <n v="598373.4"/>
    <n v="5853567"/>
    <n v="26.4"/>
    <m/>
    <s v="S3"/>
    <x v="3"/>
    <n v="2.0499999999999998"/>
    <n v="3"/>
    <n v="28.45"/>
    <n v="29.4"/>
    <n v="28.924999999999997"/>
    <n v="29"/>
    <n v="2"/>
    <n v="3"/>
    <n v="28.4"/>
    <n v="29.4"/>
    <n v="28.9"/>
    <n v="29"/>
    <n v="0"/>
    <n v="99.06"/>
    <n v="0.94"/>
    <n v="0.82"/>
    <n v="0.55000000000000004"/>
    <n v="0.94"/>
    <n v="0.67"/>
    <n v="1.7017"/>
    <n v="0.1414"/>
    <n v="0.15540000000000001"/>
    <n v="0.22259999999999999"/>
    <n v="0.24060000000000001"/>
    <n v="0.26519999999999999"/>
    <n v="1.6859"/>
    <n v="0.14299999999999999"/>
    <n v="0.15709999999999999"/>
    <n v="0.24110000000000001"/>
    <n v="0.26579999999999998"/>
    <n v="0.22320000000000001"/>
  </r>
  <r>
    <s v="VC_Q5-H_09"/>
    <n v="2"/>
    <s v="VC209"/>
    <n v="598373.4"/>
    <n v="5853567"/>
    <n v="26.4"/>
    <m/>
    <s v="S4"/>
    <x v="6"/>
    <n v="3.03"/>
    <n v="3.75"/>
    <n v="29.43"/>
    <n v="30.15"/>
    <n v="29.79"/>
    <n v="30"/>
    <n v="3"/>
    <n v="3.75"/>
    <n v="29.4"/>
    <n v="30.15"/>
    <n v="29.774999999999999"/>
    <n v="30"/>
    <n v="0.66"/>
    <n v="98.48"/>
    <n v="0.86"/>
    <n v="0.51"/>
    <n v="0.32"/>
    <n v="0.86"/>
    <n v="0.67"/>
    <n v="1.804"/>
    <n v="0.18110000000000001"/>
    <n v="0.19450000000000001"/>
    <n v="0.2964"/>
    <n v="0.32669999999999999"/>
    <n v="0.36470000000000002"/>
    <n v="1.788"/>
    <n v="0.1825"/>
    <n v="0.19589999999999999"/>
    <n v="0.32629999999999998"/>
    <n v="0.36299999999999999"/>
    <n v="0.2964"/>
  </r>
  <r>
    <s v="VC_Q5-H_09"/>
    <n v="2"/>
    <s v="VC209"/>
    <n v="598373.4"/>
    <n v="5853567"/>
    <n v="26.4"/>
    <m/>
    <s v="S5B"/>
    <x v="4"/>
    <n v="5"/>
    <n v="5.3"/>
    <n v="31.4"/>
    <n v="31.7"/>
    <n v="31.549999999999997"/>
    <n v="32"/>
    <n v="3.75"/>
    <n v="5.3"/>
    <n v="30.15"/>
    <n v="31.7"/>
    <n v="30.924999999999997"/>
    <n v="31"/>
    <n v="0"/>
    <n v="98.5"/>
    <n v="1.5"/>
    <n v="1.32"/>
    <n v="0.76"/>
    <n v="1.5"/>
    <n v="0.93"/>
    <n v="1.9198"/>
    <n v="0.16309999999999999"/>
    <n v="0.1943"/>
    <n v="0.29360000000000003"/>
    <n v="0.31309999999999999"/>
    <n v="0.33400000000000002"/>
    <n v="1.8441000000000001"/>
    <n v="0.17019999999999999"/>
    <n v="0.19819999999999999"/>
    <n v="0.31390000000000001"/>
    <n v="0.33460000000000001"/>
    <n v="0.29449999999999998"/>
  </r>
  <r>
    <s v="VC_Q5-H_10"/>
    <n v="2"/>
    <s v="VC210"/>
    <n v="598807.5"/>
    <n v="5853712.7000000002"/>
    <n v="24.4"/>
    <m/>
    <s v="S1"/>
    <x v="1"/>
    <n v="0.2"/>
    <n v="0.92"/>
    <n v="24.599999999999998"/>
    <n v="25.32"/>
    <n v="24.96"/>
    <n v="25"/>
    <n v="0"/>
    <n v="0.92"/>
    <n v="24.4"/>
    <n v="25.32"/>
    <n v="24.86"/>
    <n v="25"/>
    <n v="0.61"/>
    <n v="98.01"/>
    <n v="1.38"/>
    <n v="0.95"/>
    <n v="0.7"/>
    <n v="1.38"/>
    <n v="1.1299999999999999"/>
    <n v="1.9298999999999999"/>
    <n v="0.14000000000000001"/>
    <n v="0.15509999999999999"/>
    <n v="0.2374"/>
    <n v="0.2702"/>
    <n v="0.31719999999999998"/>
    <n v="1.8951"/>
    <n v="0.14280000000000001"/>
    <n v="0.15790000000000001"/>
    <n v="0.27050000000000002"/>
    <n v="0.31680000000000003"/>
    <n v="0.23810000000000001"/>
  </r>
  <r>
    <s v="VC_Q5-H_10"/>
    <n v="2"/>
    <s v="VC210"/>
    <n v="598807.5"/>
    <n v="5853712.7000000002"/>
    <n v="24.4"/>
    <m/>
    <s v="S1"/>
    <x v="1"/>
    <n v="0.92"/>
    <n v="1"/>
    <n v="25.32"/>
    <n v="25.4"/>
    <n v="25.36"/>
    <n v="25"/>
    <n v="0.92"/>
    <n v="1"/>
    <n v="25.32"/>
    <n v="25.4"/>
    <n v="25.36"/>
    <n v="25"/>
    <n v="0.54"/>
    <n v="96.49"/>
    <n v="2.97"/>
    <n v="2.46"/>
    <n v="1.84"/>
    <n v="2.97"/>
    <n v="2.35"/>
    <n v="1.8677999999999999"/>
    <n v="0.11020000000000001"/>
    <n v="0.12790000000000001"/>
    <n v="0.1825"/>
    <n v="0.2059"/>
    <n v="0.23230000000000001"/>
    <n v="1.7117"/>
    <n v="0.1212"/>
    <n v="0.13039999999999999"/>
    <n v="0.2074"/>
    <n v="0.23319999999999999"/>
    <n v="0.1845"/>
  </r>
  <r>
    <s v="VC_Q5-H_10"/>
    <n v="2"/>
    <s v="VC210"/>
    <n v="598807.5"/>
    <n v="5853712.7000000002"/>
    <n v="24.4"/>
    <m/>
    <s v="S2"/>
    <x v="2"/>
    <n v="1.1200000000000001"/>
    <n v="2"/>
    <n v="25.52"/>
    <n v="26.4"/>
    <n v="25.96"/>
    <n v="26"/>
    <n v="1"/>
    <n v="2"/>
    <n v="25.4"/>
    <n v="26.4"/>
    <n v="25.9"/>
    <n v="26"/>
    <n v="0.04"/>
    <n v="96.68"/>
    <n v="3.28"/>
    <n v="2.58"/>
    <n v="2.0299999999999998"/>
    <n v="3.28"/>
    <n v="2.73"/>
    <n v="1.6314"/>
    <n v="9.5100000000000004E-2"/>
    <n v="0.10680000000000001"/>
    <n v="0.14660000000000001"/>
    <n v="0.1552"/>
    <n v="0.16420000000000001"/>
    <n v="1.5508"/>
    <n v="0.1007"/>
    <n v="0.11260000000000001"/>
    <n v="0.15609999999999999"/>
    <n v="0.16489999999999999"/>
    <n v="0.1477"/>
  </r>
  <r>
    <s v="VC_Q5-H_10"/>
    <n v="2"/>
    <s v="VC210"/>
    <n v="598807.5"/>
    <n v="5853712.7000000002"/>
    <n v="24.4"/>
    <m/>
    <s v="S3"/>
    <x v="3"/>
    <n v="2.0699999999999998"/>
    <n v="3"/>
    <n v="26.47"/>
    <n v="27.4"/>
    <n v="26.934999999999999"/>
    <n v="27"/>
    <n v="2"/>
    <n v="3"/>
    <n v="26.4"/>
    <n v="27.4"/>
    <n v="26.9"/>
    <n v="27"/>
    <n v="0"/>
    <n v="97.04"/>
    <n v="2.96"/>
    <n v="2.42"/>
    <n v="1.84"/>
    <n v="2.96"/>
    <n v="2.38"/>
    <n v="1.5976999999999999"/>
    <n v="9.7799999999999998E-2"/>
    <n v="0.1119"/>
    <n v="0.14799999999999999"/>
    <n v="0.15629999999999999"/>
    <n v="0.16500000000000001"/>
    <n v="1.516"/>
    <n v="0.1036"/>
    <n v="0.1182"/>
    <n v="0.15709999999999999"/>
    <n v="0.16569999999999999"/>
    <n v="0.1489"/>
  </r>
  <r>
    <s v="VC_Q5-H_10"/>
    <n v="2"/>
    <s v="VC210"/>
    <n v="598807.5"/>
    <n v="5853712.7000000002"/>
    <n v="24.4"/>
    <m/>
    <s v="S4"/>
    <x v="4"/>
    <n v="3.05"/>
    <n v="4"/>
    <n v="27.45"/>
    <n v="28.4"/>
    <n v="27.924999999999997"/>
    <n v="28"/>
    <n v="3"/>
    <n v="4.5199999999999996"/>
    <n v="27.4"/>
    <n v="28.919999999999998"/>
    <n v="28.159999999999997"/>
    <n v="28"/>
    <n v="0"/>
    <n v="96.05"/>
    <n v="3.95"/>
    <n v="3.11"/>
    <n v="2.57"/>
    <n v="3.95"/>
    <n v="3.41"/>
    <n v="1.7107000000000001"/>
    <n v="9.2499999999999999E-2"/>
    <n v="0.10730000000000001"/>
    <n v="0.1492"/>
    <n v="0.1583"/>
    <n v="0.16789999999999999"/>
    <n v="1.5749"/>
    <n v="0.1013"/>
    <n v="0.1169"/>
    <n v="0.15959999999999999"/>
    <n v="0.16900000000000001"/>
    <n v="0.1507"/>
  </r>
  <r>
    <s v="VC_Q5-H_10"/>
    <n v="2"/>
    <s v="VC210"/>
    <n v="598807.5"/>
    <n v="5853712.7000000002"/>
    <n v="24.4"/>
    <m/>
    <s v="S5"/>
    <x v="5"/>
    <n v="4.5199999999999996"/>
    <n v="5"/>
    <n v="28.919999999999998"/>
    <n v="29.4"/>
    <n v="29.159999999999997"/>
    <n v="29"/>
    <n v="4.5199999999999996"/>
    <n v="5.55"/>
    <n v="28.919999999999998"/>
    <n v="29.95"/>
    <n v="29.434999999999999"/>
    <n v="29"/>
    <n v="0.56999999999999995"/>
    <n v="98.18"/>
    <n v="1.25"/>
    <n v="1.07"/>
    <n v="0.81"/>
    <n v="1.25"/>
    <n v="0.99"/>
    <n v="2.9548999999999999"/>
    <n v="0.1537"/>
    <n v="0.1913"/>
    <n v="0.4088"/>
    <n v="0.45419999999999999"/>
    <n v="0.50819999999999999"/>
    <n v="2.8597000000000001"/>
    <n v="0.15890000000000001"/>
    <n v="0.2"/>
    <n v="0.45450000000000002"/>
    <n v="0.50719999999999998"/>
    <n v="0.40970000000000001"/>
  </r>
  <r>
    <s v="VC_Q5-H_11"/>
    <n v="2"/>
    <s v="VC211"/>
    <n v="597974"/>
    <n v="5851474"/>
    <n v="24.2"/>
    <m/>
    <s v="S1"/>
    <x v="0"/>
    <n v="0.13"/>
    <n v="0.6"/>
    <n v="24.33"/>
    <n v="24.8"/>
    <n v="24.564999999999998"/>
    <n v="25"/>
    <n v="0"/>
    <n v="0.6"/>
    <n v="24.2"/>
    <n v="24.8"/>
    <n v="24.5"/>
    <n v="25"/>
    <n v="0.15"/>
    <n v="98.79"/>
    <n v="1.05"/>
    <n v="0.82"/>
    <n v="0.48"/>
    <n v="1.05"/>
    <n v="0.71"/>
    <n v="1.5786"/>
    <n v="0.14580000000000001"/>
    <n v="0.16170000000000001"/>
    <n v="0.21640000000000001"/>
    <n v="0.23019999999999999"/>
    <n v="0.24490000000000001"/>
    <n v="1.5602"/>
    <n v="0.1477"/>
    <n v="0.16370000000000001"/>
    <n v="0.23050000000000001"/>
    <n v="0.245"/>
    <n v="0.21679999999999999"/>
  </r>
  <r>
    <s v="VC_Q5-H_11"/>
    <n v="2"/>
    <s v="VC211"/>
    <n v="597974"/>
    <n v="5851474"/>
    <n v="24.2"/>
    <m/>
    <s v="S1"/>
    <x v="1"/>
    <n v="0.6"/>
    <n v="1"/>
    <n v="24.8"/>
    <n v="25.2"/>
    <n v="25"/>
    <n v="25"/>
    <n v="0.6"/>
    <n v="1"/>
    <n v="24.8"/>
    <n v="25.2"/>
    <n v="25"/>
    <n v="25"/>
    <n v="0.22"/>
    <n v="98.28"/>
    <n v="1.5"/>
    <n v="1.28"/>
    <n v="0.72"/>
    <n v="1.5"/>
    <n v="0.95"/>
    <n v="1.5531999999999999"/>
    <n v="0.14530000000000001"/>
    <n v="0.16120000000000001"/>
    <n v="0.2132"/>
    <n v="0.22570000000000001"/>
    <n v="0.2389"/>
    <n v="1.5288999999999999"/>
    <n v="0.14779999999999999"/>
    <n v="0.1638"/>
    <n v="0.22600000000000001"/>
    <n v="0.23910000000000001"/>
    <n v="0.21360000000000001"/>
  </r>
  <r>
    <s v="VC_Q5-H_11"/>
    <n v="2"/>
    <s v="VC211"/>
    <n v="597974"/>
    <n v="5851474"/>
    <n v="24.2"/>
    <m/>
    <s v="S2"/>
    <x v="2"/>
    <n v="1.61"/>
    <n v="2"/>
    <n v="25.81"/>
    <n v="26.2"/>
    <n v="26.004999999999999"/>
    <n v="26"/>
    <n v="1.61"/>
    <n v="2"/>
    <n v="25.81"/>
    <n v="26.2"/>
    <n v="26.004999999999999"/>
    <n v="26"/>
    <n v="0.77"/>
    <n v="97.94"/>
    <n v="1.29"/>
    <n v="1.1499999999999999"/>
    <n v="0.64"/>
    <n v="1.29"/>
    <n v="0.78"/>
    <n v="1.6336999999999999"/>
    <n v="0.13800000000000001"/>
    <n v="0.14799999999999999"/>
    <n v="0.2097"/>
    <n v="0.22539999999999999"/>
    <n v="0.2424"/>
    <n v="1.6175999999999999"/>
    <n v="0.13919999999999999"/>
    <n v="0.1492"/>
    <n v="0.22520000000000001"/>
    <n v="0.24179999999999999"/>
    <n v="0.2097"/>
  </r>
  <r>
    <s v="VC_Q5-H_11"/>
    <n v="2"/>
    <s v="VC211"/>
    <n v="597974"/>
    <n v="5851474"/>
    <n v="24.2"/>
    <m/>
    <s v="S3"/>
    <x v="3"/>
    <n v="2.15"/>
    <n v="3"/>
    <n v="26.349999999999998"/>
    <n v="27.2"/>
    <n v="26.774999999999999"/>
    <n v="27"/>
    <n v="2"/>
    <n v="3"/>
    <n v="26.2"/>
    <n v="27.2"/>
    <n v="26.7"/>
    <n v="27"/>
    <n v="0.05"/>
    <n v="99.16"/>
    <n v="0.78"/>
    <n v="0.62"/>
    <n v="0.41"/>
    <n v="0.78"/>
    <n v="0.56999999999999995"/>
    <n v="2.056"/>
    <n v="0.14449999999999999"/>
    <n v="0.1636"/>
    <n v="0.27410000000000001"/>
    <n v="0.29699999999999999"/>
    <n v="0.32190000000000002"/>
    <n v="2.0333999999999999"/>
    <n v="0.14630000000000001"/>
    <n v="0.16550000000000001"/>
    <n v="0.29749999999999999"/>
    <n v="0.32229999999999998"/>
    <n v="0.2747"/>
  </r>
  <r>
    <s v="VC_Q5-H_11"/>
    <n v="2"/>
    <s v="VC211"/>
    <n v="597974"/>
    <n v="5851474"/>
    <n v="24.2"/>
    <m/>
    <s v="S4"/>
    <x v="6"/>
    <n v="3"/>
    <n v="4"/>
    <n v="27.2"/>
    <n v="28.2"/>
    <n v="27.7"/>
    <n v="28"/>
    <n v="3"/>
    <n v="4"/>
    <n v="27.2"/>
    <n v="28.2"/>
    <n v="27.7"/>
    <n v="28"/>
    <n v="0"/>
    <n v="99.23"/>
    <n v="0.77"/>
    <n v="0.55000000000000004"/>
    <n v="0.3"/>
    <n v="0.77"/>
    <n v="0.52"/>
    <n v="1.8487"/>
    <n v="0.1633"/>
    <n v="0.18820000000000001"/>
    <n v="0.2833"/>
    <n v="0.3019"/>
    <n v="0.32169999999999999"/>
    <n v="1.819"/>
    <n v="0.16619999999999999"/>
    <n v="0.1898"/>
    <n v="0.30230000000000001"/>
    <n v="0.32200000000000001"/>
    <n v="0.2838"/>
  </r>
  <r>
    <s v="VC_Q5-H_11"/>
    <n v="2"/>
    <s v="VC211"/>
    <n v="597974"/>
    <n v="5851474"/>
    <n v="24.2"/>
    <m/>
    <s v="S5B"/>
    <x v="5"/>
    <n v="5"/>
    <n v="5.4"/>
    <n v="29.2"/>
    <n v="29.6"/>
    <n v="29.4"/>
    <n v="29"/>
    <n v="4"/>
    <n v="5.4"/>
    <n v="28.2"/>
    <n v="29.6"/>
    <n v="28.9"/>
    <n v="29"/>
    <n v="0"/>
    <n v="98.43"/>
    <n v="1.57"/>
    <n v="1.26"/>
    <n v="0.64"/>
    <n v="1.57"/>
    <n v="0.95"/>
    <n v="1.3443000000000001"/>
    <n v="0.1245"/>
    <n v="0.12859999999999999"/>
    <n v="0.15790000000000001"/>
    <n v="0.16739999999999999"/>
    <n v="0.17749999999999999"/>
    <n v="1.3361000000000001"/>
    <n v="0.12559999999999999"/>
    <n v="0.1293"/>
    <n v="0.1678"/>
    <n v="0.17780000000000001"/>
    <n v="0.1583"/>
  </r>
  <r>
    <s v="VC_Q5-H_12"/>
    <n v="2"/>
    <s v="VC212"/>
    <n v="598263.19999999995"/>
    <n v="5851444.4000000004"/>
    <n v="24"/>
    <m/>
    <s v="S1"/>
    <x v="0"/>
    <n v="0.1"/>
    <n v="0.5"/>
    <n v="24.1"/>
    <n v="24.5"/>
    <n v="24.3"/>
    <n v="24"/>
    <n v="0"/>
    <n v="0.5"/>
    <n v="24"/>
    <n v="24.5"/>
    <n v="24.25"/>
    <n v="24"/>
    <n v="0.55000000000000004"/>
    <n v="98.58"/>
    <n v="0.87"/>
    <n v="0.56999999999999995"/>
    <n v="0.38"/>
    <n v="0.87"/>
    <n v="0.68"/>
    <n v="1.9490000000000001"/>
    <n v="0.14799999999999999"/>
    <n v="0.1666"/>
    <n v="0.25700000000000001"/>
    <n v="0.28839999999999999"/>
    <n v="0.32369999999999999"/>
    <n v="1.9220999999999999"/>
    <n v="0.15"/>
    <n v="0.1686"/>
    <n v="0.28820000000000001"/>
    <n v="0.32300000000000001"/>
    <n v="0.25719999999999998"/>
  </r>
  <r>
    <s v="VC_Q5-H_12"/>
    <n v="2"/>
    <s v="VC212"/>
    <n v="598263.19999999995"/>
    <n v="5851444.4000000004"/>
    <n v="24"/>
    <m/>
    <s v="S1"/>
    <x v="1"/>
    <n v="0.5"/>
    <n v="1"/>
    <n v="24.5"/>
    <n v="25"/>
    <n v="24.75"/>
    <n v="25"/>
    <n v="0.5"/>
    <n v="1"/>
    <n v="24.5"/>
    <n v="25"/>
    <n v="24.75"/>
    <n v="25"/>
    <n v="0.3"/>
    <n v="98.4"/>
    <n v="1.3"/>
    <n v="1"/>
    <n v="0.49"/>
    <n v="1.3"/>
    <n v="0.79"/>
    <n v="1.899"/>
    <n v="0.14760000000000001"/>
    <n v="0.16619999999999999"/>
    <n v="0.24959999999999999"/>
    <n v="0.28029999999999999"/>
    <n v="0.31490000000000001"/>
    <n v="1.8714999999999999"/>
    <n v="0.15"/>
    <n v="0.16869999999999999"/>
    <n v="0.28079999999999999"/>
    <n v="0.315"/>
    <n v="0.25030000000000002"/>
  </r>
  <r>
    <s v="VC_Q5-H_12"/>
    <n v="2"/>
    <s v="VC212"/>
    <n v="598263.19999999995"/>
    <n v="5851444.4000000004"/>
    <n v="24"/>
    <m/>
    <s v="S2"/>
    <x v="2"/>
    <n v="1.03"/>
    <n v="1.5"/>
    <n v="25.03"/>
    <n v="25.5"/>
    <n v="25.265000000000001"/>
    <n v="25"/>
    <n v="1"/>
    <n v="1.5"/>
    <n v="25"/>
    <n v="25.5"/>
    <n v="25.25"/>
    <n v="25"/>
    <n v="1.49"/>
    <n v="97.76"/>
    <n v="0.76"/>
    <n v="0.48"/>
    <n v="0.41"/>
    <n v="0.76"/>
    <n v="0.68"/>
    <n v="1.9339"/>
    <n v="0.14849999999999999"/>
    <n v="0.16800000000000001"/>
    <n v="0.25480000000000003"/>
    <n v="0.28710000000000002"/>
    <n v="0.3236"/>
    <n v="1.8976999999999999"/>
    <n v="0.1502"/>
    <n v="0.16950000000000001"/>
    <n v="0.28499999999999998"/>
    <n v="0.32029999999999997"/>
    <n v="0.25359999999999999"/>
  </r>
  <r>
    <s v="VC_Q5-H_12"/>
    <n v="2"/>
    <s v="VC212"/>
    <n v="598263.19999999995"/>
    <n v="5851444.4000000004"/>
    <n v="24"/>
    <m/>
    <s v="S3"/>
    <x v="3"/>
    <n v="2.0299999999999998"/>
    <n v="3"/>
    <n v="26.03"/>
    <n v="27"/>
    <n v="26.515000000000001"/>
    <n v="27"/>
    <n v="1.5"/>
    <n v="3"/>
    <n v="25.5"/>
    <n v="27"/>
    <n v="26.25"/>
    <n v="26"/>
    <n v="0.13"/>
    <n v="99.27"/>
    <n v="0.6"/>
    <n v="0.42"/>
    <n v="0.31"/>
    <n v="0.6"/>
    <n v="0.49"/>
    <n v="1.7907999999999999"/>
    <n v="0.18029999999999999"/>
    <n v="0.19939999999999999"/>
    <n v="0.29930000000000001"/>
    <n v="0.32290000000000002"/>
    <n v="0.3483"/>
    <n v="1.7769999999999999"/>
    <n v="0.18190000000000001"/>
    <n v="0.20100000000000001"/>
    <n v="0.3231"/>
    <n v="0.34839999999999999"/>
    <n v="0.29970000000000002"/>
  </r>
  <r>
    <s v="VC_Q5-H_12"/>
    <n v="2"/>
    <s v="VC212"/>
    <n v="598263.19999999995"/>
    <n v="5851444.4000000004"/>
    <n v="24"/>
    <m/>
    <s v="S4"/>
    <x v="6"/>
    <n v="3.02"/>
    <n v="4"/>
    <n v="27.02"/>
    <n v="28"/>
    <n v="27.509999999999998"/>
    <n v="28"/>
    <n v="3"/>
    <n v="4"/>
    <n v="27"/>
    <n v="28"/>
    <n v="27.5"/>
    <n v="28"/>
    <n v="0.16"/>
    <n v="99.28"/>
    <n v="0.56000000000000005"/>
    <n v="0.42"/>
    <n v="0.28999999999999998"/>
    <n v="0.56000000000000005"/>
    <n v="0.43"/>
    <n v="1.8893"/>
    <n v="0.16539999999999999"/>
    <n v="0.1903"/>
    <n v="0.2913"/>
    <n v="0.31240000000000001"/>
    <n v="0.33510000000000001"/>
    <n v="1.8647"/>
    <n v="0.1676"/>
    <n v="0.19170000000000001"/>
    <n v="0.31259999999999999"/>
    <n v="0.3352"/>
    <n v="0.29160000000000003"/>
  </r>
  <r>
    <s v="VC_Q5-H_12"/>
    <n v="2"/>
    <s v="VC212"/>
    <n v="598263.19999999995"/>
    <n v="5851444.4000000004"/>
    <n v="24"/>
    <m/>
    <s v="S5"/>
    <x v="4"/>
    <n v="4.03"/>
    <n v="5"/>
    <n v="28.03"/>
    <n v="29"/>
    <n v="28.515000000000001"/>
    <n v="29"/>
    <n v="4"/>
    <n v="5"/>
    <n v="28"/>
    <n v="29"/>
    <n v="28.5"/>
    <n v="29"/>
    <n v="0"/>
    <n v="99.08"/>
    <n v="0.92"/>
    <n v="0.79"/>
    <n v="0.51"/>
    <n v="0.92"/>
    <n v="0.64"/>
    <n v="1.6277999999999999"/>
    <n v="0.1328"/>
    <n v="0.14080000000000001"/>
    <n v="0.20019999999999999"/>
    <n v="0.21609999999999999"/>
    <n v="0.23319999999999999"/>
    <n v="1.6201000000000001"/>
    <n v="0.13370000000000001"/>
    <n v="0.1416"/>
    <n v="0.2165"/>
    <n v="0.2336"/>
    <n v="0.20069999999999999"/>
  </r>
  <r>
    <s v="VC_Q5-H_13"/>
    <n v="2"/>
    <s v="VC213"/>
    <n v="598419.5"/>
    <n v="5852792.0999999996"/>
    <n v="29"/>
    <m/>
    <s v="S1"/>
    <x v="0"/>
    <n v="0.23"/>
    <n v="0.6"/>
    <n v="29.23"/>
    <n v="29.6"/>
    <n v="29.414999999999999"/>
    <n v="29"/>
    <n v="0"/>
    <n v="0.6"/>
    <n v="29"/>
    <n v="29.6"/>
    <n v="29.3"/>
    <n v="29"/>
    <n v="0.22"/>
    <n v="99.36"/>
    <n v="0.42"/>
    <n v="0.3"/>
    <n v="0.24"/>
    <n v="0.42"/>
    <n v="0.37"/>
    <n v="3.2965"/>
    <n v="0.15659999999999999"/>
    <n v="0.1825"/>
    <n v="0.45419999999999999"/>
    <n v="0.5161"/>
    <n v="0.57809999999999995"/>
    <n v="3.2664"/>
    <n v="0.158"/>
    <n v="0.1842"/>
    <n v="0.51619999999999999"/>
    <n v="0.57789999999999997"/>
    <n v="0.4546"/>
  </r>
  <r>
    <s v="VC_Q5-H_13"/>
    <n v="2"/>
    <s v="VC213"/>
    <n v="598419.5"/>
    <n v="5852792.0999999996"/>
    <n v="29"/>
    <m/>
    <s v="S1"/>
    <x v="1"/>
    <n v="0.6"/>
    <n v="1"/>
    <n v="29.6"/>
    <n v="30"/>
    <n v="29.8"/>
    <n v="30"/>
    <n v="0.6"/>
    <n v="1"/>
    <n v="29.6"/>
    <n v="30"/>
    <n v="29.8"/>
    <n v="30"/>
    <n v="1.27"/>
    <n v="98.08"/>
    <n v="0.65"/>
    <n v="0.56000000000000005"/>
    <n v="0.3"/>
    <n v="0.65"/>
    <n v="0.38"/>
    <n v="3.3607999999999998"/>
    <n v="0.17199999999999999"/>
    <n v="0.23200000000000001"/>
    <n v="0.51910000000000001"/>
    <n v="0.57820000000000005"/>
    <n v="0.64390000000000003"/>
    <n v="3.3098000000000001"/>
    <n v="0.17349999999999999"/>
    <n v="0.23400000000000001"/>
    <n v="0.57440000000000002"/>
    <n v="0.63859999999999995"/>
    <n v="0.51659999999999995"/>
  </r>
  <r>
    <s v="VC_Q5-H_13"/>
    <n v="2"/>
    <s v="VC213"/>
    <n v="598419.5"/>
    <n v="5852792.0999999996"/>
    <n v="29"/>
    <m/>
    <s v="S2"/>
    <x v="2"/>
    <n v="1.03"/>
    <n v="2"/>
    <n v="30.03"/>
    <n v="31"/>
    <n v="30.515000000000001"/>
    <n v="31"/>
    <n v="1"/>
    <n v="2"/>
    <n v="30"/>
    <n v="31"/>
    <n v="30.5"/>
    <n v="31"/>
    <n v="0.17"/>
    <n v="99.29"/>
    <n v="0.54"/>
    <n v="0.38"/>
    <n v="0.27"/>
    <n v="0.54"/>
    <n v="0.43"/>
    <n v="2.8733"/>
    <n v="0.15079999999999999"/>
    <n v="0.17199999999999999"/>
    <n v="0.3926"/>
    <n v="0.43330000000000002"/>
    <n v="0.47810000000000002"/>
    <n v="2.8475999999999999"/>
    <n v="0.15229999999999999"/>
    <n v="0.1736"/>
    <n v="0.43359999999999999"/>
    <n v="0.47810000000000002"/>
    <n v="0.3931"/>
  </r>
  <r>
    <s v="VC_Q5-H_13"/>
    <n v="2"/>
    <s v="VC213"/>
    <n v="598419.5"/>
    <n v="5852792.0999999996"/>
    <n v="29"/>
    <m/>
    <s v="S3"/>
    <x v="3"/>
    <n v="2.04"/>
    <n v="2.81"/>
    <n v="31.04"/>
    <n v="31.81"/>
    <n v="31.424999999999997"/>
    <n v="31"/>
    <n v="2"/>
    <n v="2.81"/>
    <n v="31"/>
    <n v="31.81"/>
    <n v="31.405000000000001"/>
    <n v="31"/>
    <n v="0"/>
    <n v="99.2"/>
    <n v="0.8"/>
    <n v="0.69"/>
    <n v="0.37"/>
    <n v="0.8"/>
    <n v="0.48"/>
    <n v="2.4533999999999998"/>
    <n v="0.1396"/>
    <n v="0.1522"/>
    <n v="0.29509999999999997"/>
    <n v="0.34239999999999998"/>
    <n v="0.38619999999999999"/>
    <n v="2.4420999999999999"/>
    <n v="0.1406"/>
    <n v="0.1532"/>
    <n v="0.34339999999999998"/>
    <n v="0.38679999999999998"/>
    <n v="0.29620000000000002"/>
  </r>
  <r>
    <s v="VC_Q5-H_13"/>
    <n v="2"/>
    <s v="VC213"/>
    <n v="598419.5"/>
    <n v="5852792.0999999996"/>
    <n v="29"/>
    <m/>
    <s v="S4"/>
    <x v="6"/>
    <n v="3.05"/>
    <n v="4"/>
    <n v="32.049999999999997"/>
    <n v="33"/>
    <n v="32.524999999999999"/>
    <n v="33"/>
    <n v="3"/>
    <n v="4"/>
    <n v="32"/>
    <n v="33"/>
    <n v="32.5"/>
    <n v="33"/>
    <n v="0.96"/>
    <n v="98.31"/>
    <n v="0.73"/>
    <n v="0.44"/>
    <n v="0.28999999999999998"/>
    <n v="0.73"/>
    <n v="0.57999999999999996"/>
    <n v="2.1916000000000002"/>
    <n v="0.17419999999999999"/>
    <n v="0.20280000000000001"/>
    <n v="0.33829999999999999"/>
    <n v="0.38179999999999997"/>
    <n v="0.43480000000000002"/>
    <n v="2.1398000000000001"/>
    <n v="0.17760000000000001"/>
    <n v="0.20480000000000001"/>
    <n v="0.38009999999999999"/>
    <n v="0.43190000000000001"/>
    <n v="0.33760000000000001"/>
  </r>
  <r>
    <s v="VC_Q5-H_13"/>
    <n v="2"/>
    <s v="VC213"/>
    <n v="598419.5"/>
    <n v="5852792.0999999996"/>
    <n v="29"/>
    <m/>
    <s v="S5"/>
    <x v="5"/>
    <n v="4.04"/>
    <n v="5"/>
    <n v="33.04"/>
    <n v="34"/>
    <n v="33.519999999999996"/>
    <n v="34"/>
    <n v="4.04"/>
    <n v="5.65"/>
    <n v="33.04"/>
    <n v="34.65"/>
    <n v="33.844999999999999"/>
    <n v="34"/>
    <n v="0"/>
    <n v="99.46"/>
    <n v="0.54"/>
    <n v="0.52"/>
    <n v="0.26"/>
    <n v="0.54"/>
    <n v="0.28999999999999998"/>
    <n v="1.6165"/>
    <n v="0.19700000000000001"/>
    <n v="0.22159999999999999"/>
    <n v="0.29970000000000002"/>
    <n v="0.31840000000000002"/>
    <n v="0.33829999999999999"/>
    <n v="1.6077999999999999"/>
    <n v="0.19819999999999999"/>
    <n v="0.22289999999999999"/>
    <n v="0.31859999999999999"/>
    <n v="0.33850000000000002"/>
    <n v="0.2999"/>
  </r>
  <r>
    <s v="VC_Q5-H_14"/>
    <n v="2"/>
    <s v="VC214"/>
    <n v="598699.6"/>
    <n v="5852493.2999999998"/>
    <n v="24.3"/>
    <m/>
    <s v="S1"/>
    <x v="0"/>
    <n v="0.12"/>
    <n v="0.68"/>
    <n v="24.42"/>
    <n v="24.98"/>
    <n v="24.700000000000003"/>
    <n v="25"/>
    <n v="0"/>
    <n v="0.68"/>
    <n v="24.3"/>
    <n v="24.98"/>
    <n v="24.64"/>
    <n v="25"/>
    <n v="2.79"/>
    <n v="94.72"/>
    <n v="2.4900000000000002"/>
    <n v="1.98"/>
    <n v="1.68"/>
    <n v="2.4900000000000002"/>
    <n v="2.19"/>
    <n v="1.8967000000000001"/>
    <n v="0.1447"/>
    <n v="0.1648"/>
    <n v="0.24229999999999999"/>
    <n v="0.27439999999999998"/>
    <n v="0.31540000000000001"/>
    <n v="1.7945"/>
    <n v="0.1512"/>
    <n v="0.17119999999999999"/>
    <n v="0.27129999999999999"/>
    <n v="0.30980000000000002"/>
    <n v="0.24160000000000001"/>
  </r>
  <r>
    <s v="VC_Q5-H_14"/>
    <n v="2"/>
    <s v="VC214"/>
    <n v="598699.6"/>
    <n v="5852493.2999999998"/>
    <n v="24.3"/>
    <m/>
    <s v="S1"/>
    <x v="1"/>
    <n v="0.68"/>
    <n v="1"/>
    <n v="24.98"/>
    <n v="25.3"/>
    <n v="25.14"/>
    <n v="25"/>
    <n v="0.68"/>
    <n v="1"/>
    <n v="24.98"/>
    <n v="25.3"/>
    <n v="25.14"/>
    <n v="25"/>
    <n v="0.03"/>
    <n v="98.6"/>
    <n v="1.37"/>
    <n v="1.1299999999999999"/>
    <n v="0.64"/>
    <n v="1.37"/>
    <n v="0.88"/>
    <n v="2.0085999999999999"/>
    <n v="0.15240000000000001"/>
    <n v="0.1802"/>
    <n v="0.28299999999999997"/>
    <n v="0.30620000000000003"/>
    <n v="0.33119999999999999"/>
    <n v="1.9612000000000001"/>
    <n v="0.1565"/>
    <n v="0.1825"/>
    <n v="0.307"/>
    <n v="0.33179999999999998"/>
    <n v="0.28399999999999997"/>
  </r>
  <r>
    <s v="VC_Q5-H_14"/>
    <n v="2"/>
    <s v="VC214"/>
    <n v="598699.6"/>
    <n v="5852493.2999999998"/>
    <n v="24.3"/>
    <m/>
    <s v="S2"/>
    <x v="2"/>
    <n v="1.03"/>
    <n v="2"/>
    <n v="25.330000000000002"/>
    <n v="26.3"/>
    <n v="25.815000000000001"/>
    <n v="26"/>
    <n v="1"/>
    <n v="2"/>
    <n v="25.3"/>
    <n v="26.3"/>
    <n v="25.8"/>
    <n v="26"/>
    <n v="0.01"/>
    <n v="99.25"/>
    <n v="0.74"/>
    <n v="0.74"/>
    <n v="0.39"/>
    <n v="0.74"/>
    <n v="0.39"/>
    <n v="1.6632"/>
    <n v="0.18090000000000001"/>
    <n v="0.1946"/>
    <n v="0.28149999999999997"/>
    <n v="0.3009"/>
    <n v="0.32169999999999999"/>
    <n v="1.6564000000000001"/>
    <n v="0.18190000000000001"/>
    <n v="0.1956"/>
    <n v="0.30120000000000002"/>
    <n v="0.32190000000000002"/>
    <n v="0.28189999999999998"/>
  </r>
  <r>
    <s v="VC_Q5-H_14"/>
    <n v="2"/>
    <s v="VC214"/>
    <n v="598699.6"/>
    <n v="5852493.2999999998"/>
    <n v="24.3"/>
    <m/>
    <s v="S3"/>
    <x v="3"/>
    <n v="2.0299999999999998"/>
    <n v="3"/>
    <n v="26.330000000000002"/>
    <n v="27.3"/>
    <n v="26.815000000000001"/>
    <n v="27"/>
    <n v="2"/>
    <n v="3"/>
    <n v="26.3"/>
    <n v="27.3"/>
    <n v="26.8"/>
    <n v="27"/>
    <n v="0"/>
    <n v="98.86"/>
    <n v="1.1399999999999999"/>
    <n v="0.91"/>
    <n v="0.52"/>
    <n v="1.1399999999999999"/>
    <n v="0.75"/>
    <n v="1.6165"/>
    <n v="0.13550000000000001"/>
    <n v="0.14449999999999999"/>
    <n v="0.20419999999999999"/>
    <n v="0.219"/>
    <n v="0.2349"/>
    <n v="1.6059000000000001"/>
    <n v="0.13669999999999999"/>
    <n v="0.1457"/>
    <n v="0.2195"/>
    <n v="0.23530000000000001"/>
    <n v="0.20469999999999999"/>
  </r>
  <r>
    <s v="VC_Q5-H_14"/>
    <n v="2"/>
    <s v="VC214"/>
    <n v="598699.6"/>
    <n v="5852493.2999999998"/>
    <n v="24.3"/>
    <m/>
    <s v="S4"/>
    <x v="4"/>
    <n v="3.03"/>
    <n v="4"/>
    <n v="27.330000000000002"/>
    <n v="28.3"/>
    <n v="27.815000000000001"/>
    <n v="28"/>
    <n v="3"/>
    <n v="4.75"/>
    <n v="27.3"/>
    <n v="29.05"/>
    <n v="28.175000000000001"/>
    <n v="28"/>
    <n v="0"/>
    <n v="99.16"/>
    <n v="0.84"/>
    <n v="0.83"/>
    <n v="0.51"/>
    <n v="0.84"/>
    <n v="0.52"/>
    <n v="1.5387999999999999"/>
    <n v="0.13389999999999999"/>
    <n v="0.1409"/>
    <n v="0.19320000000000001"/>
    <n v="0.20599999999999999"/>
    <n v="0.21970000000000001"/>
    <n v="1.5335000000000001"/>
    <n v="0.13450000000000001"/>
    <n v="0.14149999999999999"/>
    <n v="0.20630000000000001"/>
    <n v="0.21990000000000001"/>
    <n v="0.19350000000000001"/>
  </r>
  <r>
    <s v="VC_Q5-H_14"/>
    <n v="2"/>
    <s v="VC214"/>
    <n v="598699.6"/>
    <n v="5852493.2999999998"/>
    <n v="24.3"/>
    <m/>
    <s v="S6"/>
    <x v="5"/>
    <n v="5.12"/>
    <n v="5.95"/>
    <n v="29.42"/>
    <n v="30.25"/>
    <n v="29.835000000000001"/>
    <n v="30"/>
    <n v="4.75"/>
    <n v="5.95"/>
    <n v="29.05"/>
    <n v="30.25"/>
    <n v="29.65"/>
    <n v="30"/>
    <n v="0.35"/>
    <n v="98.88"/>
    <n v="0.77"/>
    <n v="0.57999999999999996"/>
    <n v="0.34"/>
    <n v="0.77"/>
    <n v="0.53"/>
    <n v="2.1318000000000001"/>
    <n v="0.1605"/>
    <n v="0.1845"/>
    <n v="0.30409999999999998"/>
    <n v="0.3422"/>
    <n v="0.38519999999999999"/>
    <n v="2.1012"/>
    <n v="0.1628"/>
    <n v="0.1857"/>
    <n v="0.3422"/>
    <n v="0.38479999999999998"/>
    <n v="0.3044"/>
  </r>
  <r>
    <s v="VC_Q5-H_15"/>
    <n v="2"/>
    <s v="VC215"/>
    <n v="597729.19999999995"/>
    <n v="5853479"/>
    <n v="24.3"/>
    <m/>
    <s v="S1"/>
    <x v="0"/>
    <n v="0.23"/>
    <n v="0.61"/>
    <n v="24.53"/>
    <n v="24.91"/>
    <n v="24.72"/>
    <n v="25"/>
    <n v="0"/>
    <n v="0.61"/>
    <n v="24.3"/>
    <n v="24.91"/>
    <n v="24.605"/>
    <n v="25"/>
    <n v="0.51"/>
    <n v="98.24"/>
    <n v="1.25"/>
    <n v="0.99"/>
    <n v="0.72"/>
    <n v="1.25"/>
    <n v="0.97"/>
    <n v="1.6149"/>
    <n v="0.1409"/>
    <n v="0.15329999999999999"/>
    <n v="0.21290000000000001"/>
    <n v="0.22750000000000001"/>
    <n v="0.24299999999999999"/>
    <n v="1.5933999999999999"/>
    <n v="0.14280000000000001"/>
    <n v="0.1552"/>
    <n v="0.2276"/>
    <n v="0.2429"/>
    <n v="0.21329999999999999"/>
  </r>
  <r>
    <s v="VC_Q5-H_15"/>
    <n v="2"/>
    <s v="VC215"/>
    <n v="597729.19999999995"/>
    <n v="5853479"/>
    <n v="24.3"/>
    <m/>
    <s v="S1"/>
    <x v="1"/>
    <n v="0.61"/>
    <n v="1"/>
    <n v="24.91"/>
    <n v="25.3"/>
    <n v="25.105"/>
    <n v="25"/>
    <n v="0.61"/>
    <n v="1"/>
    <n v="24.91"/>
    <n v="25.3"/>
    <n v="25.105"/>
    <n v="25"/>
    <n v="0.53"/>
    <n v="97.96"/>
    <n v="1.52"/>
    <n v="1.4"/>
    <n v="0.8"/>
    <n v="1.52"/>
    <n v="0.91"/>
    <n v="1.607"/>
    <n v="0.14269999999999999"/>
    <n v="0.15629999999999999"/>
    <n v="0.21490000000000001"/>
    <n v="0.2293"/>
    <n v="0.2447"/>
    <n v="1.585"/>
    <n v="0.1447"/>
    <n v="0.1583"/>
    <n v="0.22939999999999999"/>
    <n v="0.2445"/>
    <n v="0.2152"/>
  </r>
  <r>
    <s v="VC_Q5-H_15"/>
    <n v="2"/>
    <s v="VC215"/>
    <n v="597729.19999999995"/>
    <n v="5853479"/>
    <n v="24.3"/>
    <m/>
    <s v="S2"/>
    <x v="2"/>
    <n v="1.1200000000000001"/>
    <n v="2"/>
    <n v="25.42"/>
    <n v="26.3"/>
    <n v="25.86"/>
    <n v="26"/>
    <n v="1"/>
    <n v="2.38"/>
    <n v="25.3"/>
    <n v="26.68"/>
    <n v="25.990000000000002"/>
    <n v="26"/>
    <n v="1.1200000000000001"/>
    <n v="97.31"/>
    <n v="1.57"/>
    <n v="1.35"/>
    <n v="0.91"/>
    <n v="1.57"/>
    <n v="1.1399999999999999"/>
    <n v="1.6829000000000001"/>
    <n v="0.13980000000000001"/>
    <n v="0.1522"/>
    <n v="0.218"/>
    <n v="0.23530000000000001"/>
    <n v="0.25940000000000002"/>
    <n v="1.6544000000000001"/>
    <n v="0.14199999999999999"/>
    <n v="0.1542"/>
    <n v="0.2349"/>
    <n v="0.25740000000000002"/>
    <n v="0.218"/>
  </r>
  <r>
    <s v="VC_Q5-H_15"/>
    <n v="2"/>
    <s v="VC215"/>
    <n v="597729.19999999995"/>
    <n v="5853479"/>
    <n v="24.3"/>
    <m/>
    <s v="S3"/>
    <x v="3"/>
    <n v="2.54"/>
    <n v="3"/>
    <n v="26.84"/>
    <n v="27.3"/>
    <n v="27.07"/>
    <n v="27"/>
    <n v="2.38"/>
    <n v="3"/>
    <n v="26.68"/>
    <n v="27.3"/>
    <n v="26.990000000000002"/>
    <n v="27"/>
    <n v="0.01"/>
    <n v="98.58"/>
    <n v="1.41"/>
    <n v="1.02"/>
    <n v="0.52"/>
    <n v="1.41"/>
    <n v="0.92"/>
    <n v="1.8706"/>
    <n v="0.14940000000000001"/>
    <n v="0.1729"/>
    <n v="0.26029999999999998"/>
    <n v="0.27960000000000002"/>
    <n v="0.30030000000000001"/>
    <n v="1.8309"/>
    <n v="0.15310000000000001"/>
    <n v="0.1769"/>
    <n v="0.28029999999999999"/>
    <n v="0.3009"/>
    <n v="0.2611"/>
  </r>
  <r>
    <s v="VC_Q5-H_15"/>
    <n v="2"/>
    <s v="VC215"/>
    <n v="597729.19999999995"/>
    <n v="5853479"/>
    <n v="24.3"/>
    <m/>
    <s v="S4"/>
    <x v="6"/>
    <n v="3.04"/>
    <n v="4"/>
    <n v="27.34"/>
    <n v="28.3"/>
    <n v="27.82"/>
    <n v="28"/>
    <n v="3"/>
    <n v="4"/>
    <n v="27.3"/>
    <n v="28.3"/>
    <n v="27.8"/>
    <n v="28"/>
    <n v="0.02"/>
    <n v="98.85"/>
    <n v="1.1299999999999999"/>
    <n v="0.89"/>
    <n v="0.5"/>
    <n v="1.1299999999999999"/>
    <n v="0.74"/>
    <n v="1.6223000000000001"/>
    <n v="0.14080000000000001"/>
    <n v="0.15340000000000001"/>
    <n v="0.2137"/>
    <n v="0.22839999999999999"/>
    <n v="0.2442"/>
    <n v="1.6071"/>
    <n v="0.1424"/>
    <n v="0.155"/>
    <n v="0.2288"/>
    <n v="0.2445"/>
    <n v="0.2142"/>
  </r>
  <r>
    <s v="VC_Q5-H_15"/>
    <n v="2"/>
    <s v="VC215"/>
    <n v="597729.19999999995"/>
    <n v="5853479"/>
    <n v="24.3"/>
    <m/>
    <s v="S5"/>
    <x v="4"/>
    <n v="4"/>
    <n v="4.92"/>
    <n v="28.3"/>
    <n v="29.22"/>
    <n v="28.759999999999998"/>
    <n v="29"/>
    <n v="4"/>
    <n v="4.92"/>
    <n v="28.3"/>
    <n v="29.22"/>
    <n v="28.759999999999998"/>
    <n v="29"/>
    <n v="0.19"/>
    <n v="98.94"/>
    <n v="0.88"/>
    <n v="0.71"/>
    <n v="0.46"/>
    <n v="0.88"/>
    <n v="0.62"/>
    <n v="1.6193"/>
    <n v="0.13780000000000001"/>
    <n v="0.1479"/>
    <n v="0.20830000000000001"/>
    <n v="0.22309999999999999"/>
    <n v="0.23899999999999999"/>
    <n v="1.6084000000000001"/>
    <n v="0.13880000000000001"/>
    <n v="0.14899999999999999"/>
    <n v="0.2233"/>
    <n v="0.23910000000000001"/>
    <n v="0.20860000000000001"/>
  </r>
  <r>
    <s v="VC_Q5-H_16"/>
    <n v="2"/>
    <s v="VC216"/>
    <n v="597714"/>
    <n v="5852880.4000000004"/>
    <n v="24.5"/>
    <m/>
    <s v="S1"/>
    <x v="0"/>
    <n v="0.12"/>
    <n v="0.6"/>
    <n v="24.62"/>
    <n v="25.1"/>
    <n v="24.86"/>
    <n v="25"/>
    <n v="0"/>
    <n v="0.6"/>
    <n v="24.5"/>
    <n v="25.1"/>
    <n v="24.8"/>
    <n v="25"/>
    <n v="0.74"/>
    <n v="98.37"/>
    <n v="0.89"/>
    <n v="0.77"/>
    <n v="0.64"/>
    <n v="0.89"/>
    <n v="0.77"/>
    <n v="1.6534"/>
    <n v="0.14419999999999999"/>
    <n v="0.15859999999999999"/>
    <n v="0.22159999999999999"/>
    <n v="0.23849999999999999"/>
    <n v="0.26750000000000002"/>
    <n v="1.6325000000000001"/>
    <n v="0.1459"/>
    <n v="0.16020000000000001"/>
    <n v="0.2382"/>
    <n v="0.2661"/>
    <n v="0.22159999999999999"/>
  </r>
  <r>
    <s v="VC_Q5-H_16"/>
    <n v="2"/>
    <s v="VC216"/>
    <n v="597714"/>
    <n v="5852880.4000000004"/>
    <n v="24.5"/>
    <m/>
    <s v="S1"/>
    <x v="1"/>
    <n v="0.6"/>
    <n v="1"/>
    <n v="25.1"/>
    <n v="25.5"/>
    <n v="25.3"/>
    <n v="25"/>
    <n v="0.6"/>
    <n v="1"/>
    <n v="25.1"/>
    <n v="25.5"/>
    <n v="25.3"/>
    <n v="25"/>
    <n v="0.79"/>
    <n v="97.75"/>
    <n v="1.46"/>
    <n v="1.31"/>
    <n v="0.82"/>
    <n v="1.46"/>
    <n v="0.97"/>
    <n v="1.6701999999999999"/>
    <n v="0.1406"/>
    <n v="0.1527"/>
    <n v="0.21759999999999999"/>
    <n v="0.23480000000000001"/>
    <n v="0.25729999999999997"/>
    <n v="1.6473"/>
    <n v="0.1424"/>
    <n v="0.1545"/>
    <n v="0.2346"/>
    <n v="0.25619999999999998"/>
    <n v="0.21779999999999999"/>
  </r>
  <r>
    <s v="VC_Q5-H_16"/>
    <n v="2"/>
    <s v="VC216"/>
    <n v="597714"/>
    <n v="5852880.4000000004"/>
    <n v="24.5"/>
    <m/>
    <s v="S2"/>
    <x v="3"/>
    <n v="1.17"/>
    <n v="2"/>
    <n v="25.67"/>
    <n v="26.5"/>
    <n v="26.085000000000001"/>
    <n v="26"/>
    <n v="1"/>
    <n v="3.32"/>
    <n v="25.5"/>
    <n v="27.82"/>
    <n v="26.66"/>
    <n v="27"/>
    <n v="0.39"/>
    <n v="98.8"/>
    <n v="0.82"/>
    <n v="0.81"/>
    <n v="0.52"/>
    <n v="0.82"/>
    <n v="0.52"/>
    <n v="1.6182000000000001"/>
    <n v="0.18770000000000001"/>
    <n v="0.20730000000000001"/>
    <n v="0.28749999999999998"/>
    <n v="0.30370000000000003"/>
    <n v="0.32079999999999997"/>
    <n v="1.6042000000000001"/>
    <n v="0.1893"/>
    <n v="0.20880000000000001"/>
    <n v="0.30370000000000003"/>
    <n v="0.3206"/>
    <n v="0.28760000000000002"/>
  </r>
  <r>
    <s v="VC_Q5-H_16"/>
    <n v="2"/>
    <s v="VC216"/>
    <n v="597714"/>
    <n v="5852880.4000000004"/>
    <n v="24.5"/>
    <m/>
    <s v="S4"/>
    <x v="6"/>
    <n v="3.32"/>
    <n v="4"/>
    <n v="27.82"/>
    <n v="28.5"/>
    <n v="28.16"/>
    <n v="28"/>
    <n v="3.32"/>
    <n v="4"/>
    <n v="27.82"/>
    <n v="28.5"/>
    <n v="28.16"/>
    <n v="28"/>
    <n v="1"/>
    <n v="98.38"/>
    <n v="0.61"/>
    <n v="0.49"/>
    <n v="0.32"/>
    <n v="0.61"/>
    <n v="0.45"/>
    <n v="2.1646999999999998"/>
    <n v="0.18609999999999999"/>
    <n v="0.22189999999999999"/>
    <n v="0.36630000000000001"/>
    <n v="0.40289999999999998"/>
    <n v="0.44309999999999999"/>
    <n v="2.1328999999999998"/>
    <n v="0.18809999999999999"/>
    <n v="0.2238"/>
    <n v="0.4012"/>
    <n v="0.44069999999999998"/>
    <n v="0.36530000000000001"/>
  </r>
  <r>
    <s v="VC_Q5-H_16"/>
    <n v="2"/>
    <s v="VC216"/>
    <n v="597714"/>
    <n v="5852880.4000000004"/>
    <n v="24.5"/>
    <m/>
    <s v="S5A"/>
    <x v="4"/>
    <n v="4.0999999999999996"/>
    <n v="5"/>
    <n v="28.6"/>
    <n v="29.5"/>
    <n v="29.05"/>
    <n v="29"/>
    <n v="4"/>
    <n v="5.0999999999999996"/>
    <n v="28.5"/>
    <n v="29.6"/>
    <n v="29.05"/>
    <n v="29"/>
    <n v="0.1"/>
    <n v="99.4"/>
    <n v="0.5"/>
    <n v="0.38"/>
    <n v="0.28999999999999998"/>
    <n v="0.5"/>
    <n v="0.41"/>
    <n v="2.0223"/>
    <n v="0.1807"/>
    <n v="0.20960000000000001"/>
    <n v="0.33160000000000001"/>
    <n v="0.36549999999999999"/>
    <n v="0.40310000000000001"/>
    <n v="2.0028000000000001"/>
    <n v="0.1827"/>
    <n v="0.2117"/>
    <n v="0.3659"/>
    <n v="0.40329999999999999"/>
    <n v="0.33210000000000001"/>
  </r>
  <r>
    <s v="VC_Q5-H_16"/>
    <n v="2"/>
    <s v="VC216"/>
    <n v="597714"/>
    <n v="5852880.4000000004"/>
    <n v="24.5"/>
    <m/>
    <s v="S5B"/>
    <x v="5"/>
    <n v="5"/>
    <n v="5.0999999999999996"/>
    <n v="29.5"/>
    <n v="29.6"/>
    <n v="29.55"/>
    <n v="30"/>
    <n v="5"/>
    <n v="5.0999999999999996"/>
    <n v="29.5"/>
    <n v="29.6"/>
    <n v="29.55"/>
    <n v="30"/>
    <n v="0.02"/>
    <n v="98.8"/>
    <n v="1.17"/>
    <n v="1.08"/>
    <n v="0.57999999999999996"/>
    <n v="1.17"/>
    <n v="0.68"/>
    <n v="2.1848000000000001"/>
    <n v="0.1429"/>
    <n v="0.16009999999999999"/>
    <n v="0.28389999999999999"/>
    <n v="0.31219999999999998"/>
    <n v="0.34339999999999998"/>
    <n v="2.1598999999999999"/>
    <n v="0.1449"/>
    <n v="0.16220000000000001"/>
    <n v="0.313"/>
    <n v="0.34399999999999997"/>
    <n v="0.2848"/>
  </r>
  <r>
    <s v="VC_Q5-H_17"/>
    <n v="2"/>
    <s v="VC217"/>
    <n v="598906.69999999995"/>
    <n v="5851476"/>
    <n v="24.3"/>
    <m/>
    <s v="S1"/>
    <x v="0"/>
    <n v="0.1"/>
    <n v="0.55000000000000004"/>
    <n v="24.400000000000002"/>
    <n v="24.85"/>
    <n v="24.625"/>
    <n v="25"/>
    <n v="0"/>
    <n v="0.55000000000000004"/>
    <n v="24.3"/>
    <n v="24.85"/>
    <n v="24.575000000000003"/>
    <n v="25"/>
    <n v="0.03"/>
    <n v="99.07"/>
    <n v="0.91"/>
    <n v="0.63"/>
    <n v="0.47"/>
    <n v="0.91"/>
    <n v="0.74"/>
    <n v="1.8102"/>
    <n v="0.14929999999999999"/>
    <n v="0.1696"/>
    <n v="0.24099999999999999"/>
    <n v="0.2702"/>
    <n v="0.30840000000000001"/>
    <n v="1.7863"/>
    <n v="0.15179999999999999"/>
    <n v="0.1724"/>
    <n v="0.2712"/>
    <n v="0.30919999999999997"/>
    <n v="0.24179999999999999"/>
  </r>
  <r>
    <s v="VC_Q5-H_17"/>
    <n v="2"/>
    <s v="VC217"/>
    <n v="598906.69999999995"/>
    <n v="5851476"/>
    <n v="24.3"/>
    <m/>
    <s v="S1"/>
    <x v="1"/>
    <n v="0.55000000000000004"/>
    <n v="1"/>
    <n v="24.85"/>
    <n v="25.3"/>
    <n v="25.075000000000003"/>
    <n v="25"/>
    <n v="0.55000000000000004"/>
    <n v="1"/>
    <n v="24.85"/>
    <n v="25.3"/>
    <n v="25.075000000000003"/>
    <n v="25"/>
    <n v="0.05"/>
    <n v="98.87"/>
    <n v="1.08"/>
    <n v="0.9"/>
    <n v="0.48"/>
    <n v="1.08"/>
    <n v="0.66"/>
    <n v="1.8492"/>
    <n v="0.1522"/>
    <n v="0.17480000000000001"/>
    <n v="0.24890000000000001"/>
    <n v="0.28139999999999998"/>
    <n v="0.31850000000000001"/>
    <n v="1.8245"/>
    <n v="0.1547"/>
    <n v="0.17749999999999999"/>
    <n v="0.28220000000000001"/>
    <n v="0.31919999999999998"/>
    <n v="0.24959999999999999"/>
  </r>
  <r>
    <s v="VC_Q5-H_17"/>
    <n v="2"/>
    <s v="VC217"/>
    <n v="598906.69999999995"/>
    <n v="5851476"/>
    <n v="24.3"/>
    <m/>
    <s v="S2"/>
    <x v="2"/>
    <n v="1.04"/>
    <n v="2"/>
    <n v="25.34"/>
    <n v="26.3"/>
    <n v="25.82"/>
    <n v="26"/>
    <n v="1"/>
    <n v="2"/>
    <n v="25.3"/>
    <n v="26.3"/>
    <n v="25.8"/>
    <n v="26"/>
    <n v="1.07"/>
    <n v="98.05"/>
    <n v="0.88"/>
    <n v="0.72"/>
    <n v="0.42"/>
    <n v="0.88"/>
    <n v="0.57999999999999996"/>
    <n v="1.8622000000000001"/>
    <n v="0.15970000000000001"/>
    <n v="0.18260000000000001"/>
    <n v="0.26490000000000002"/>
    <n v="0.29749999999999999"/>
    <n v="0.33410000000000001"/>
    <n v="1.8283"/>
    <n v="0.16189999999999999"/>
    <n v="0.1832"/>
    <n v="0.29599999999999999"/>
    <n v="0.33179999999999998"/>
    <n v="0.2641"/>
  </r>
  <r>
    <s v="VC_Q5-H_17"/>
    <n v="2"/>
    <s v="VC217"/>
    <n v="598906.69999999995"/>
    <n v="5851476"/>
    <n v="24.3"/>
    <m/>
    <s v="S3"/>
    <x v="3"/>
    <n v="2.2000000000000002"/>
    <n v="3"/>
    <n v="26.5"/>
    <n v="27.3"/>
    <n v="26.9"/>
    <n v="27"/>
    <n v="2"/>
    <n v="3"/>
    <n v="26.3"/>
    <n v="27.3"/>
    <n v="26.8"/>
    <n v="27"/>
    <n v="0.2"/>
    <n v="98.83"/>
    <n v="0.96"/>
    <n v="0.79"/>
    <n v="0.55000000000000004"/>
    <n v="0.96"/>
    <n v="0.73"/>
    <n v="2.1009000000000002"/>
    <n v="0.15049999999999999"/>
    <n v="0.17449999999999999"/>
    <n v="0.29139999999999999"/>
    <n v="0.31609999999999999"/>
    <n v="0.34279999999999999"/>
    <n v="2.0644999999999998"/>
    <n v="0.15329999999999999"/>
    <n v="0.17749999999999999"/>
    <n v="0.3165"/>
    <n v="0.34300000000000003"/>
    <n v="0.29210000000000003"/>
  </r>
  <r>
    <s v="VC_Q5-H_17"/>
    <n v="2"/>
    <s v="VC217"/>
    <n v="598906.69999999995"/>
    <n v="5851476"/>
    <n v="24.3"/>
    <m/>
    <s v="S5A"/>
    <x v="4"/>
    <n v="4.1100000000000003"/>
    <n v="5"/>
    <n v="28.41"/>
    <n v="29.3"/>
    <n v="28.855"/>
    <n v="29"/>
    <n v="3"/>
    <n v="5"/>
    <n v="27.3"/>
    <n v="29.3"/>
    <n v="28.3"/>
    <n v="28"/>
    <n v="0.02"/>
    <n v="99.53"/>
    <n v="0.45"/>
    <n v="0.37"/>
    <n v="0.32"/>
    <n v="0.45"/>
    <n v="0.4"/>
    <n v="1.6019000000000001"/>
    <n v="0.1986"/>
    <n v="0.22270000000000001"/>
    <n v="0.29959999999999998"/>
    <n v="0.31819999999999998"/>
    <n v="0.33800000000000002"/>
    <n v="1.5904"/>
    <n v="0.20030000000000001"/>
    <n v="0.22439999999999999"/>
    <n v="0.31850000000000001"/>
    <n v="0.33829999999999999"/>
    <n v="0.2999"/>
  </r>
  <r>
    <s v="VC_Q5-H_17"/>
    <n v="2"/>
    <s v="VC217"/>
    <n v="598906.69999999995"/>
    <n v="5851476"/>
    <n v="24.3"/>
    <m/>
    <s v="S5B"/>
    <x v="5"/>
    <n v="5"/>
    <n v="5.5"/>
    <n v="29.3"/>
    <n v="29.8"/>
    <n v="29.55"/>
    <n v="30"/>
    <n v="5"/>
    <n v="5.5"/>
    <n v="29.3"/>
    <n v="29.8"/>
    <n v="29.55"/>
    <n v="30"/>
    <n v="0"/>
    <n v="99.08"/>
    <n v="0.92"/>
    <n v="0.83"/>
    <n v="0.43"/>
    <n v="0.92"/>
    <n v="0.52"/>
    <n v="1.6812"/>
    <n v="0.17660000000000001"/>
    <n v="0.19289999999999999"/>
    <n v="0.27910000000000001"/>
    <n v="0.2969"/>
    <n v="0.316"/>
    <n v="1.6500999999999999"/>
    <n v="0.1802"/>
    <n v="0.19420000000000001"/>
    <n v="0.29730000000000001"/>
    <n v="0.31630000000000003"/>
    <n v="0.27950000000000003"/>
  </r>
  <r>
    <s v="BQ050701"/>
    <n v="1"/>
    <m/>
    <n v="597569"/>
    <n v="5851562"/>
    <n v="22.5"/>
    <m/>
    <m/>
    <x v="0"/>
    <n v="0"/>
    <n v="0.06"/>
    <n v="22.5"/>
    <n v="22.56"/>
    <n v="22.53"/>
    <n v="23"/>
    <n v="0"/>
    <n v="0.06"/>
    <n v="22.5"/>
    <n v="22.56"/>
    <n v="22.53"/>
    <n v="23"/>
    <m/>
    <m/>
    <m/>
    <m/>
    <n v="0.6"/>
    <n v="0.78"/>
    <n v="0.61"/>
    <n v="1.9386000000000001"/>
    <n v="0.21049999999999999"/>
    <n v="0.25209999999999999"/>
    <n v="0.372"/>
    <n v="0.40810000000000002"/>
    <n v="0.4476"/>
    <n v="1.8996999999999999"/>
    <n v="0.21510000000000001"/>
    <n v="0.25359999999999999"/>
    <n v="0.40860000000000002"/>
    <n v="0.44779999999999998"/>
    <n v="0.37280000000000002"/>
  </r>
  <r>
    <s v="BQ050701"/>
    <n v="1"/>
    <m/>
    <n v="597569"/>
    <n v="5851562"/>
    <n v="22.5"/>
    <m/>
    <m/>
    <x v="0"/>
    <n v="0.06"/>
    <n v="0.35"/>
    <n v="22.56"/>
    <n v="22.85"/>
    <n v="22.704999999999998"/>
    <n v="23"/>
    <n v="0.06"/>
    <n v="0.35"/>
    <n v="22.56"/>
    <n v="22.85"/>
    <n v="22.704999999999998"/>
    <n v="23"/>
    <m/>
    <m/>
    <m/>
    <m/>
    <n v="0.54"/>
    <n v="0.98"/>
    <n v="0.77"/>
    <n v="2.0926999999999998"/>
    <n v="0.1658"/>
    <n v="0.20030000000000001"/>
    <n v="0.31830000000000003"/>
    <n v="0.34699999999999998"/>
    <n v="0.38669999999999999"/>
    <n v="2.0247999999999999"/>
    <n v="0.17180000000000001"/>
    <n v="0.20449999999999999"/>
    <n v="0.34789999999999999"/>
    <n v="0.38769999999999999"/>
    <n v="0.31929999999999997"/>
  </r>
  <r>
    <s v="BQ050701"/>
    <n v="1"/>
    <m/>
    <n v="597569"/>
    <n v="5851562"/>
    <n v="22.5"/>
    <m/>
    <m/>
    <x v="0"/>
    <n v="0.35"/>
    <n v="0.54"/>
    <n v="22.85"/>
    <n v="23.04"/>
    <n v="22.945"/>
    <n v="23"/>
    <n v="0.35"/>
    <n v="0.54"/>
    <n v="22.85"/>
    <n v="23.04"/>
    <n v="22.945"/>
    <n v="23"/>
    <m/>
    <m/>
    <m/>
    <m/>
    <n v="0.6"/>
    <n v="0.93"/>
    <n v="0.73"/>
    <n v="1.7117"/>
    <n v="0.16800000000000001"/>
    <n v="0.1875"/>
    <n v="0.2697"/>
    <n v="0.28760000000000002"/>
    <n v="0.30669999999999997"/>
    <n v="1.6698"/>
    <n v="0.17249999999999999"/>
    <n v="0.18890000000000001"/>
    <n v="0.28810000000000002"/>
    <n v="0.30709999999999998"/>
    <n v="0.2702"/>
  </r>
  <r>
    <s v="BQ050701"/>
    <n v="1"/>
    <m/>
    <n v="597569"/>
    <n v="5851562"/>
    <n v="22.5"/>
    <m/>
    <m/>
    <x v="3"/>
    <n v="0.54"/>
    <n v="3"/>
    <n v="23.04"/>
    <n v="25.5"/>
    <n v="24.27"/>
    <n v="24"/>
    <n v="0.54"/>
    <n v="3"/>
    <n v="23.04"/>
    <n v="25.5"/>
    <n v="24.27"/>
    <n v="24"/>
    <m/>
    <m/>
    <m/>
    <m/>
    <n v="0.52"/>
    <n v="1.28"/>
    <n v="1.01"/>
    <n v="1.7493000000000001"/>
    <n v="0.1547"/>
    <n v="0.18010000000000001"/>
    <n v="0.2442"/>
    <n v="0.2707"/>
    <n v="0.30180000000000001"/>
    <n v="1.7081"/>
    <n v="0.15909999999999999"/>
    <n v="0.18140000000000001"/>
    <n v="0.2717"/>
    <n v="0.30259999999999998"/>
    <n v="0.2452"/>
  </r>
  <r>
    <s v="BQ050701"/>
    <n v="1"/>
    <m/>
    <n v="597569"/>
    <n v="5851562"/>
    <n v="22.5"/>
    <m/>
    <m/>
    <x v="6"/>
    <n v="3"/>
    <n v="3.61"/>
    <n v="25.5"/>
    <n v="26.11"/>
    <n v="25.805"/>
    <n v="26"/>
    <n v="3"/>
    <n v="3.61"/>
    <n v="25.5"/>
    <n v="26.11"/>
    <n v="25.805"/>
    <n v="26"/>
    <m/>
    <m/>
    <m/>
    <m/>
    <n v="0.49"/>
    <n v="1.61"/>
    <n v="1.1100000000000001"/>
    <n v="1.7785"/>
    <n v="0.16120000000000001"/>
    <n v="0.18329999999999999"/>
    <n v="0.25950000000000001"/>
    <n v="0.28670000000000001"/>
    <n v="0.31680000000000003"/>
    <n v="1.7249000000000001"/>
    <n v="0.1668"/>
    <n v="0.18490000000000001"/>
    <n v="0.28770000000000001"/>
    <n v="0.31740000000000002"/>
    <n v="0.26069999999999999"/>
  </r>
  <r>
    <s v="BQ050701"/>
    <n v="1"/>
    <m/>
    <n v="597569"/>
    <n v="5851562"/>
    <n v="22.5"/>
    <m/>
    <m/>
    <x v="6"/>
    <n v="3.61"/>
    <n v="3.9"/>
    <n v="26.11"/>
    <n v="26.4"/>
    <n v="26.254999999999999"/>
    <n v="26"/>
    <n v="3.61"/>
    <n v="3.9"/>
    <n v="26.11"/>
    <n v="26.4"/>
    <n v="26.254999999999999"/>
    <n v="26"/>
    <m/>
    <m/>
    <m/>
    <m/>
    <n v="0.95"/>
    <n v="1.74"/>
    <n v="1.35"/>
    <n v="1.7035"/>
    <n v="0.14019999999999999"/>
    <n v="0.1552"/>
    <n v="0.22159999999999999"/>
    <n v="0.23880000000000001"/>
    <n v="0.26350000000000001"/>
    <n v="1.6682999999999999"/>
    <n v="0.14369999999999999"/>
    <n v="0.1588"/>
    <n v="0.2397"/>
    <n v="0.26469999999999999"/>
    <n v="0.22259999999999999"/>
  </r>
  <r>
    <s v="BQ050701"/>
    <n v="1"/>
    <m/>
    <n v="597569"/>
    <n v="5851562"/>
    <n v="22.5"/>
    <m/>
    <m/>
    <x v="6"/>
    <n v="3.9"/>
    <n v="4"/>
    <n v="26.4"/>
    <n v="26.5"/>
    <n v="26.45"/>
    <n v="26"/>
    <n v="3.9"/>
    <n v="4"/>
    <n v="26.4"/>
    <n v="26.5"/>
    <n v="26.45"/>
    <n v="26"/>
    <m/>
    <m/>
    <m/>
    <m/>
    <n v="1"/>
    <n v="1.73"/>
    <n v="1.42"/>
    <n v="1.6698"/>
    <n v="0.1298"/>
    <n v="0.1376"/>
    <n v="0.1991"/>
    <n v="0.2167"/>
    <n v="0.23580000000000001"/>
    <n v="1.6529"/>
    <n v="0.13170000000000001"/>
    <n v="0.13950000000000001"/>
    <n v="0.2177"/>
    <n v="0.23669999999999999"/>
    <n v="0.20030000000000001"/>
  </r>
  <r>
    <s v="BQ050701"/>
    <n v="1"/>
    <m/>
    <n v="597569"/>
    <n v="5851562"/>
    <n v="22.5"/>
    <m/>
    <m/>
    <x v="4"/>
    <n v="4"/>
    <n v="4.62"/>
    <n v="26.5"/>
    <n v="27.12"/>
    <n v="26.810000000000002"/>
    <n v="27"/>
    <n v="4"/>
    <n v="4.62"/>
    <n v="26.5"/>
    <n v="27.12"/>
    <n v="26.810000000000002"/>
    <n v="27"/>
    <m/>
    <m/>
    <m/>
    <m/>
    <n v="0.87"/>
    <n v="1.43"/>
    <n v="1.1399999999999999"/>
    <n v="1.5185"/>
    <n v="0.12659999999999999"/>
    <n v="0.13189999999999999"/>
    <n v="0.17510000000000001"/>
    <n v="0.1923"/>
    <n v="0.2127"/>
    <n v="1.5128999999999999"/>
    <n v="0.12770000000000001"/>
    <n v="0.13289999999999999"/>
    <n v="0.19320000000000001"/>
    <n v="0.21340000000000001"/>
    <n v="0.1759"/>
  </r>
  <r>
    <s v="BQ050701"/>
    <n v="1"/>
    <m/>
    <n v="597569"/>
    <n v="5851562"/>
    <n v="22.5"/>
    <m/>
    <m/>
    <x v="4"/>
    <n v="4.62"/>
    <n v="4.9000000000000004"/>
    <n v="27.12"/>
    <n v="27.4"/>
    <n v="27.259999999999998"/>
    <n v="27"/>
    <n v="4.62"/>
    <n v="4.9000000000000004"/>
    <n v="27.12"/>
    <n v="27.4"/>
    <n v="27.259999999999998"/>
    <n v="27"/>
    <m/>
    <m/>
    <m/>
    <m/>
    <n v="0.64"/>
    <n v="1.62"/>
    <n v="1.31"/>
    <n v="1.9521999999999999"/>
    <n v="0.1414"/>
    <n v="0.15820000000000001"/>
    <n v="0.25490000000000002"/>
    <n v="0.27600000000000002"/>
    <n v="0.2989"/>
    <n v="1.9091"/>
    <n v="0.1452"/>
    <n v="0.16220000000000001"/>
    <n v="0.2772"/>
    <n v="0.2999"/>
    <n v="0.25619999999999998"/>
  </r>
  <r>
    <s v="BQ050701"/>
    <n v="1"/>
    <m/>
    <n v="597569"/>
    <n v="5851562"/>
    <n v="22.5"/>
    <m/>
    <m/>
    <x v="4"/>
    <n v="4.9000000000000004"/>
    <n v="5"/>
    <n v="27.4"/>
    <n v="27.5"/>
    <n v="27.45"/>
    <n v="27"/>
    <n v="4.9000000000000004"/>
    <n v="5"/>
    <n v="27.4"/>
    <n v="27.5"/>
    <n v="27.45"/>
    <n v="27"/>
    <m/>
    <m/>
    <m/>
    <m/>
    <m/>
    <m/>
    <m/>
    <m/>
    <m/>
    <m/>
    <m/>
    <m/>
    <m/>
    <m/>
    <m/>
    <m/>
    <m/>
    <m/>
    <m/>
  </r>
  <r>
    <s v="BQ050701"/>
    <n v="1"/>
    <m/>
    <n v="597569"/>
    <n v="5851562"/>
    <n v="22.5"/>
    <m/>
    <m/>
    <x v="5"/>
    <n v="5"/>
    <n v="5.07"/>
    <n v="27.5"/>
    <n v="27.57"/>
    <n v="27.535"/>
    <n v="28"/>
    <n v="5"/>
    <n v="5.07"/>
    <n v="27.5"/>
    <n v="27.57"/>
    <n v="27.535"/>
    <n v="28"/>
    <m/>
    <m/>
    <m/>
    <m/>
    <m/>
    <m/>
    <m/>
    <m/>
    <m/>
    <m/>
    <m/>
    <m/>
    <m/>
    <m/>
    <m/>
    <m/>
    <m/>
    <m/>
    <m/>
  </r>
  <r>
    <s v="BQ050701"/>
    <n v="1"/>
    <m/>
    <n v="597569"/>
    <n v="5851562"/>
    <n v="22.5"/>
    <m/>
    <m/>
    <x v="5"/>
    <n v="5.07"/>
    <n v="5.72"/>
    <n v="27.57"/>
    <n v="28.22"/>
    <n v="27.895"/>
    <n v="28"/>
    <n v="5.07"/>
    <n v="5.72"/>
    <n v="27.57"/>
    <n v="28.22"/>
    <n v="27.895"/>
    <n v="28"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s v="VC_Q5-H_01"/>
    <n v="2"/>
    <s v="VC201"/>
    <n v="598718.6"/>
    <n v="5853262.4000000004"/>
    <n v="24.7"/>
    <x v="0"/>
    <s v="S1"/>
    <x v="0"/>
    <n v="0.18"/>
    <n v="0.8"/>
    <n v="24.88"/>
    <n v="25.5"/>
    <n v="25.189999999999998"/>
    <n v="25"/>
    <n v="0"/>
    <n v="0.8"/>
    <n v="24.7"/>
    <n v="25.5"/>
    <n v="25.1"/>
    <x v="0"/>
    <n v="2.04"/>
    <n v="96.82"/>
    <n v="1.1399999999999999"/>
    <n v="0.75"/>
    <n v="0.55000000000000004"/>
    <n v="1.1399999999999999"/>
    <n v="0.93"/>
    <n v="1.9167000000000001"/>
    <n v="0.14949999999999999"/>
    <n v="0.17100000000000001"/>
    <n v="0.25650000000000001"/>
    <n v="0.28649999999999998"/>
    <n v="0.3201"/>
    <n v="1.8664000000000001"/>
    <n v="0.15210000000000001"/>
    <n v="0.17319999999999999"/>
    <n v="0.2838"/>
    <n v="0.316"/>
    <n v="0.25490000000000002"/>
  </r>
  <r>
    <s v="VC_Q5-H_01"/>
    <n v="2"/>
    <s v="VC201"/>
    <n v="598718.6"/>
    <n v="5853262.4000000004"/>
    <n v="24.7"/>
    <x v="0"/>
    <s v="S1"/>
    <x v="1"/>
    <n v="0.8"/>
    <n v="1"/>
    <n v="25.5"/>
    <n v="25.7"/>
    <n v="25.6"/>
    <n v="26"/>
    <n v="0.8"/>
    <n v="1"/>
    <n v="25.5"/>
    <n v="25.7"/>
    <n v="25.6"/>
    <x v="1"/>
    <n v="0.14000000000000001"/>
    <n v="97.67"/>
    <n v="2.19"/>
    <n v="1.72"/>
    <n v="1.23"/>
    <n v="2.19"/>
    <n v="1.7"/>
    <n v="2.2564000000000002"/>
    <n v="0.12640000000000001"/>
    <n v="0.13689999999999999"/>
    <n v="0.25640000000000002"/>
    <n v="0.2853"/>
    <n v="0.31730000000000003"/>
    <n v="2.2162999999999999"/>
    <n v="0.1295"/>
    <n v="0.1401"/>
    <n v="0.28710000000000002"/>
    <n v="0.31869999999999998"/>
    <n v="0.2586"/>
  </r>
  <r>
    <s v="VC_Q5-H_01"/>
    <n v="2"/>
    <s v="VC201"/>
    <n v="598718.6"/>
    <n v="5853262.4000000004"/>
    <n v="24.7"/>
    <x v="0"/>
    <s v="S2"/>
    <x v="2"/>
    <n v="1.05"/>
    <n v="2"/>
    <n v="25.75"/>
    <n v="26.7"/>
    <n v="26.225000000000001"/>
    <n v="26"/>
    <n v="1.05"/>
    <n v="2"/>
    <n v="25.75"/>
    <n v="26.7"/>
    <n v="26.225000000000001"/>
    <x v="1"/>
    <n v="0.04"/>
    <n v="96.15"/>
    <n v="3.82"/>
    <n v="2.88"/>
    <n v="2.5099999999999998"/>
    <n v="3.82"/>
    <n v="3.45"/>
    <n v="1.9964"/>
    <n v="9.9099999999999994E-2"/>
    <n v="0.126"/>
    <n v="0.1736"/>
    <n v="0.19769999999999999"/>
    <n v="0.2311"/>
    <n v="1.7130000000000001"/>
    <n v="0.1179"/>
    <n v="0.12939999999999999"/>
    <n v="0.20200000000000001"/>
    <n v="0.23480000000000001"/>
    <n v="0.17630000000000001"/>
  </r>
  <r>
    <s v="VC_Q5-H_01"/>
    <n v="2"/>
    <s v="VC201"/>
    <n v="598718.6"/>
    <n v="5853262.4000000004"/>
    <n v="24.7"/>
    <x v="0"/>
    <s v="S3"/>
    <x v="3"/>
    <n v="2.0299999999999998"/>
    <n v="3"/>
    <n v="26.73"/>
    <n v="27.7"/>
    <n v="27.215"/>
    <n v="27"/>
    <n v="2"/>
    <n v="3"/>
    <n v="26.7"/>
    <n v="27.7"/>
    <n v="27.2"/>
    <x v="2"/>
    <n v="0.01"/>
    <n v="97.02"/>
    <n v="2.97"/>
    <n v="2.38"/>
    <n v="2.09"/>
    <n v="2.97"/>
    <n v="2.68"/>
    <n v="2.4718"/>
    <n v="0.1164"/>
    <n v="0.1338"/>
    <n v="0.25840000000000002"/>
    <n v="0.28770000000000001"/>
    <n v="0.32029999999999997"/>
    <n v="2.2743000000000002"/>
    <n v="0.128"/>
    <n v="0.13919999999999999"/>
    <n v="0.29099999999999998"/>
    <n v="0.3231"/>
    <n v="0.2621"/>
  </r>
  <r>
    <s v="VC_Q5-H_01"/>
    <n v="2"/>
    <s v="VC201"/>
    <n v="598718.6"/>
    <n v="5853262.4000000004"/>
    <n v="24.7"/>
    <x v="0"/>
    <s v="S5A"/>
    <x v="4"/>
    <n v="4.08"/>
    <n v="5"/>
    <n v="28.78"/>
    <n v="29.7"/>
    <n v="29.240000000000002"/>
    <n v="29"/>
    <n v="4.08"/>
    <n v="5"/>
    <n v="28.78"/>
    <n v="29.7"/>
    <n v="29.240000000000002"/>
    <x v="3"/>
    <n v="0"/>
    <n v="99.16"/>
    <n v="0.84"/>
    <n v="0.64"/>
    <n v="0.52"/>
    <n v="0.84"/>
    <n v="0.72"/>
    <n v="1.9155"/>
    <n v="0.1489"/>
    <n v="0.17199999999999999"/>
    <n v="0.26300000000000001"/>
    <n v="0.28520000000000001"/>
    <n v="0.30940000000000001"/>
    <n v="1.8843000000000001"/>
    <n v="0.1517"/>
    <n v="0.17510000000000001"/>
    <n v="0.28589999999999999"/>
    <n v="0.30990000000000001"/>
    <n v="0.26379999999999998"/>
  </r>
  <r>
    <s v="VC_Q5-H_01"/>
    <n v="2"/>
    <s v="VC201"/>
    <n v="598718.6"/>
    <n v="5853262.4000000004"/>
    <n v="24.7"/>
    <x v="0"/>
    <s v="S5B"/>
    <x v="5"/>
    <n v="5"/>
    <n v="5.2"/>
    <n v="29.7"/>
    <n v="29.9"/>
    <n v="29.799999999999997"/>
    <n v="30"/>
    <n v="5"/>
    <n v="5.2"/>
    <n v="29.7"/>
    <n v="29.9"/>
    <n v="29.799999999999997"/>
    <x v="4"/>
    <n v="0.03"/>
    <n v="98.53"/>
    <n v="1.44"/>
    <n v="1.08"/>
    <n v="0.54"/>
    <n v="1.44"/>
    <n v="0.9"/>
    <n v="1.5964"/>
    <n v="0.1769"/>
    <n v="0.18820000000000001"/>
    <n v="0.2616"/>
    <n v="0.28239999999999998"/>
    <n v="0.3049"/>
    <n v="1.5669999999999999"/>
    <n v="0.1807"/>
    <n v="0.18959999999999999"/>
    <n v="0.28320000000000001"/>
    <n v="0.30549999999999999"/>
    <n v="0.26240000000000002"/>
  </r>
  <r>
    <s v="VC_Q5-H_02"/>
    <n v="2"/>
    <s v="VC202"/>
    <n v="598425.80000000005"/>
    <n v="5853112.7999999998"/>
    <n v="27.8"/>
    <x v="0"/>
    <s v="S1"/>
    <x v="0"/>
    <n v="0.1"/>
    <n v="0.55000000000000004"/>
    <n v="27.900000000000002"/>
    <n v="28.35"/>
    <n v="28.125"/>
    <n v="28"/>
    <n v="0"/>
    <n v="0.55000000000000004"/>
    <n v="27.8"/>
    <n v="28.35"/>
    <n v="28.075000000000003"/>
    <x v="5"/>
    <n v="0"/>
    <n v="98.97"/>
    <n v="1.03"/>
    <n v="0.79"/>
    <n v="0.61"/>
    <n v="1.03"/>
    <n v="0.85"/>
    <n v="1.7027000000000001"/>
    <n v="0.13500000000000001"/>
    <n v="0.1449"/>
    <n v="0.2117"/>
    <n v="0.22989999999999999"/>
    <n v="0.24959999999999999"/>
    <n v="1.6890000000000001"/>
    <n v="0.13650000000000001"/>
    <n v="0.1464"/>
    <n v="0.23050000000000001"/>
    <n v="0.25040000000000001"/>
    <n v="0.21249999999999999"/>
  </r>
  <r>
    <s v="VC_Q5-H_02"/>
    <n v="2"/>
    <s v="VC202"/>
    <n v="598425.80000000005"/>
    <n v="5853112.7999999998"/>
    <n v="27.8"/>
    <x v="0"/>
    <s v="S1"/>
    <x v="1"/>
    <n v="0.55000000000000004"/>
    <n v="1"/>
    <n v="28.35"/>
    <n v="28.8"/>
    <n v="28.575000000000003"/>
    <n v="29"/>
    <n v="0.55000000000000004"/>
    <n v="1"/>
    <n v="28.35"/>
    <n v="28.8"/>
    <n v="28.575000000000003"/>
    <x v="3"/>
    <n v="0.02"/>
    <n v="98.89"/>
    <n v="1.0900000000000001"/>
    <n v="0.81"/>
    <n v="0.38"/>
    <n v="1.0900000000000001"/>
    <n v="0.66"/>
    <n v="1.7552000000000001"/>
    <n v="0.1439"/>
    <n v="0.1583"/>
    <n v="0.23019999999999999"/>
    <n v="0.2525"/>
    <n v="0.30869999999999997"/>
    <n v="1.7442"/>
    <n v="0.14549999999999999"/>
    <n v="0.16"/>
    <n v="0.25380000000000003"/>
    <n v="0.30990000000000001"/>
    <n v="0.23080000000000001"/>
  </r>
  <r>
    <s v="VC_Q5-H_02"/>
    <n v="2"/>
    <s v="VC202"/>
    <n v="598425.80000000005"/>
    <n v="5853112.7999999998"/>
    <n v="27.8"/>
    <x v="0"/>
    <s v="S2"/>
    <x v="2"/>
    <n v="1.08"/>
    <n v="2"/>
    <n v="28.880000000000003"/>
    <n v="29.8"/>
    <n v="29.340000000000003"/>
    <n v="29"/>
    <n v="1"/>
    <n v="2"/>
    <n v="28.8"/>
    <n v="29.8"/>
    <n v="29.3"/>
    <x v="3"/>
    <n v="0.45"/>
    <n v="98.73"/>
    <n v="0.82"/>
    <n v="0.55000000000000004"/>
    <n v="0.33"/>
    <n v="0.82"/>
    <n v="0.59"/>
    <n v="1.9927999999999999"/>
    <n v="0.1525"/>
    <n v="0.1736"/>
    <n v="0.25829999999999997"/>
    <n v="0.3039"/>
    <n v="0.35720000000000002"/>
    <n v="1.9664999999999999"/>
    <n v="0.15440000000000001"/>
    <n v="0.17560000000000001"/>
    <n v="0.30370000000000003"/>
    <n v="0.35649999999999998"/>
    <n v="0.2586"/>
  </r>
  <r>
    <s v="VC_Q5-H_02"/>
    <n v="2"/>
    <s v="VC202"/>
    <n v="598425.80000000005"/>
    <n v="5853112.7999999998"/>
    <n v="27.8"/>
    <x v="0"/>
    <s v="S4"/>
    <x v="6"/>
    <n v="3.03"/>
    <n v="4"/>
    <n v="30.830000000000002"/>
    <n v="31.8"/>
    <n v="31.315000000000001"/>
    <n v="31"/>
    <n v="2"/>
    <n v="4.54"/>
    <n v="29.8"/>
    <n v="32.340000000000003"/>
    <n v="31.07"/>
    <x v="6"/>
    <n v="0.01"/>
    <n v="99.45"/>
    <n v="0.53"/>
    <n v="0.4"/>
    <n v="0.24"/>
    <n v="0.53"/>
    <n v="0.37"/>
    <n v="2.0819999999999999"/>
    <n v="0.16850000000000001"/>
    <n v="0.19750000000000001"/>
    <n v="0.31990000000000002"/>
    <n v="0.3508"/>
    <n v="0.3866"/>
    <n v="2.0587"/>
    <n v="0.1706"/>
    <n v="0.1993"/>
    <n v="0.3513"/>
    <n v="0.38700000000000001"/>
    <n v="0.32040000000000002"/>
  </r>
  <r>
    <s v="VC_Q5-H_02"/>
    <n v="2"/>
    <s v="VC202"/>
    <n v="598425.80000000005"/>
    <n v="5853112.7999999998"/>
    <n v="27.8"/>
    <x v="0"/>
    <s v="S5"/>
    <x v="4"/>
    <n v="4.54"/>
    <n v="5"/>
    <n v="32.340000000000003"/>
    <n v="32.799999999999997"/>
    <n v="32.57"/>
    <n v="33"/>
    <n v="4.54"/>
    <n v="5"/>
    <n v="32.340000000000003"/>
    <n v="32.799999999999997"/>
    <n v="32.57"/>
    <x v="7"/>
    <n v="0.6"/>
    <n v="98.59"/>
    <n v="0.82"/>
    <n v="0.73"/>
    <n v="0.43"/>
    <n v="0.82"/>
    <n v="0.52"/>
    <n v="2.1175000000000002"/>
    <n v="0.18920000000000001"/>
    <n v="0.23619999999999999"/>
    <n v="0.36780000000000002"/>
    <n v="0.40060000000000001"/>
    <n v="0.43630000000000002"/>
    <n v="2.0771000000000002"/>
    <n v="0.19259999999999999"/>
    <n v="0.2399"/>
    <n v="0.40010000000000001"/>
    <n v="0.43530000000000002"/>
    <n v="0.36759999999999998"/>
  </r>
  <r>
    <s v="VC_Q5-H_02"/>
    <n v="2"/>
    <s v="VC202"/>
    <n v="598425.80000000005"/>
    <n v="5853112.7999999998"/>
    <n v="27.8"/>
    <x v="0"/>
    <s v="S6"/>
    <x v="5"/>
    <n v="5.24"/>
    <n v="5.95"/>
    <n v="33.04"/>
    <n v="33.75"/>
    <n v="33.394999999999996"/>
    <n v="33"/>
    <n v="5"/>
    <n v="5.95"/>
    <n v="32.799999999999997"/>
    <n v="33.75"/>
    <n v="33.274999999999999"/>
    <x v="7"/>
    <n v="0.49"/>
    <n v="98.63"/>
    <n v="0.87"/>
    <n v="0.81"/>
    <n v="0.42"/>
    <n v="0.87"/>
    <n v="0.48"/>
    <n v="1.6825000000000001"/>
    <n v="0.2263"/>
    <n v="0.25640000000000002"/>
    <n v="0.34949999999999998"/>
    <n v="0.38069999999999998"/>
    <n v="0.41439999999999999"/>
    <n v="1.6516999999999999"/>
    <n v="0.2303"/>
    <n v="0.2571"/>
    <n v="0.38040000000000002"/>
    <n v="0.41370000000000001"/>
    <n v="0.34949999999999998"/>
  </r>
  <r>
    <s v="VC_Q5-H_03"/>
    <n v="2"/>
    <s v="VC203"/>
    <n v="597924.5"/>
    <n v="5853186.5"/>
    <n v="25.5"/>
    <x v="0"/>
    <s v="S1"/>
    <x v="0"/>
    <n v="0.22"/>
    <n v="0.61"/>
    <n v="25.72"/>
    <n v="26.11"/>
    <n v="25.914999999999999"/>
    <n v="26"/>
    <n v="0"/>
    <n v="0.61"/>
    <n v="25.5"/>
    <n v="26.11"/>
    <n v="25.805"/>
    <x v="1"/>
    <n v="0.08"/>
    <n v="99.31"/>
    <n v="0.61"/>
    <n v="0.39"/>
    <n v="0.25"/>
    <n v="0.61"/>
    <n v="0.47"/>
    <n v="1.8068"/>
    <n v="0.1704"/>
    <n v="0.19089999999999999"/>
    <n v="0.28620000000000001"/>
    <n v="0.308"/>
    <n v="0.33139999999999997"/>
    <n v="1.7795000000000001"/>
    <n v="0.17319999999999999"/>
    <n v="0.19209999999999999"/>
    <n v="0.30830000000000002"/>
    <n v="0.33160000000000001"/>
    <n v="0.28660000000000002"/>
  </r>
  <r>
    <s v="VC_Q5-H_03"/>
    <n v="2"/>
    <s v="VC203"/>
    <n v="597924.5"/>
    <n v="5853186.5"/>
    <n v="25.5"/>
    <x v="0"/>
    <s v="S1"/>
    <x v="1"/>
    <n v="0.61"/>
    <n v="1"/>
    <n v="26.11"/>
    <n v="26.5"/>
    <n v="26.305"/>
    <n v="26"/>
    <n v="0.61"/>
    <n v="1"/>
    <n v="26.11"/>
    <n v="26.5"/>
    <n v="26.305"/>
    <x v="1"/>
    <n v="0.32"/>
    <n v="98.8"/>
    <n v="0.89"/>
    <n v="0.69"/>
    <n v="0.34"/>
    <n v="0.89"/>
    <n v="0.54"/>
    <n v="1.7867999999999999"/>
    <n v="0.17460000000000001"/>
    <n v="0.19439999999999999"/>
    <n v="0.29049999999999998"/>
    <n v="0.31190000000000001"/>
    <n v="0.33500000000000002"/>
    <n v="1.7533000000000001"/>
    <n v="0.1779"/>
    <n v="0.1958"/>
    <n v="0.312"/>
    <n v="0.33489999999999998"/>
    <n v="0.29070000000000001"/>
  </r>
  <r>
    <s v="VC_Q5-H_03"/>
    <n v="2"/>
    <s v="VC203"/>
    <n v="597924.5"/>
    <n v="5853186.5"/>
    <n v="25.5"/>
    <x v="0"/>
    <s v="S2"/>
    <x v="2"/>
    <n v="1.56"/>
    <n v="2"/>
    <n v="27.06"/>
    <n v="27.5"/>
    <n v="27.28"/>
    <n v="27"/>
    <n v="1"/>
    <n v="2"/>
    <n v="26.5"/>
    <n v="27.5"/>
    <n v="27"/>
    <x v="2"/>
    <n v="0"/>
    <n v="99.39"/>
    <n v="0.61"/>
    <n v="0.59"/>
    <n v="0.24"/>
    <n v="0.61"/>
    <n v="0.26"/>
    <n v="1.6106"/>
    <n v="0.20300000000000001"/>
    <n v="0.23069999999999999"/>
    <n v="0.30659999999999998"/>
    <n v="0.32690000000000002"/>
    <n v="0.34860000000000002"/>
    <n v="1.6021000000000001"/>
    <n v="0.20419999999999999"/>
    <n v="0.2319"/>
    <n v="0.3271"/>
    <n v="0.34870000000000001"/>
    <n v="0.30690000000000001"/>
  </r>
  <r>
    <s v="VC_Q5-H_03"/>
    <n v="2"/>
    <s v="VC203"/>
    <n v="597924.5"/>
    <n v="5853186.5"/>
    <n v="25.5"/>
    <x v="0"/>
    <s v="S3"/>
    <x v="3"/>
    <n v="2.02"/>
    <n v="3"/>
    <n v="27.52"/>
    <n v="28.5"/>
    <n v="28.009999999999998"/>
    <n v="28"/>
    <n v="2"/>
    <n v="3"/>
    <n v="27.5"/>
    <n v="28.5"/>
    <n v="28"/>
    <x v="5"/>
    <n v="0"/>
    <n v="99.37"/>
    <n v="0.63"/>
    <n v="0.51"/>
    <n v="0.28999999999999998"/>
    <n v="0.63"/>
    <n v="0.42"/>
    <n v="1.7855000000000001"/>
    <n v="0.1726"/>
    <n v="0.1925"/>
    <n v="0.28710000000000002"/>
    <n v="0.30819999999999997"/>
    <n v="0.33090000000000003"/>
    <n v="1.7599"/>
    <n v="0.1754"/>
    <n v="0.19370000000000001"/>
    <n v="0.30859999999999999"/>
    <n v="0.33119999999999999"/>
    <n v="0.28749999999999998"/>
  </r>
  <r>
    <s v="VC_Q5-H_03"/>
    <n v="2"/>
    <s v="VC203"/>
    <n v="597924.5"/>
    <n v="5853186.5"/>
    <n v="25.5"/>
    <x v="0"/>
    <s v="S4"/>
    <x v="6"/>
    <n v="3"/>
    <n v="4"/>
    <n v="28.5"/>
    <n v="29.5"/>
    <n v="29"/>
    <n v="29"/>
    <n v="3"/>
    <n v="4"/>
    <n v="28.5"/>
    <n v="29.5"/>
    <n v="29"/>
    <x v="3"/>
    <n v="0.21"/>
    <n v="99.16"/>
    <n v="0.63"/>
    <n v="0.41"/>
    <n v="0.26"/>
    <n v="0.63"/>
    <n v="0.48"/>
    <n v="2.1682000000000001"/>
    <n v="0.16259999999999999"/>
    <n v="0.1895"/>
    <n v="0.31869999999999998"/>
    <n v="0.35249999999999998"/>
    <n v="0.39229999999999998"/>
    <n v="2.1392000000000002"/>
    <n v="0.16489999999999999"/>
    <n v="0.1913"/>
    <n v="0.35270000000000001"/>
    <n v="0.39229999999999998"/>
    <n v="0.31909999999999999"/>
  </r>
  <r>
    <s v="VC_Q5-H_03"/>
    <n v="2"/>
    <s v="VC203"/>
    <n v="597924.5"/>
    <n v="5853186.5"/>
    <n v="25.5"/>
    <x v="0"/>
    <s v="S5"/>
    <x v="4"/>
    <n v="4.03"/>
    <n v="5"/>
    <n v="29.53"/>
    <n v="30.5"/>
    <n v="30.015000000000001"/>
    <n v="30"/>
    <n v="4"/>
    <n v="5"/>
    <n v="29.5"/>
    <n v="30.5"/>
    <n v="30"/>
    <x v="4"/>
    <n v="0"/>
    <n v="99.48"/>
    <n v="0.52"/>
    <n v="0.39"/>
    <n v="0.25"/>
    <n v="0.52"/>
    <n v="0.38"/>
    <n v="1.6497999999999999"/>
    <n v="0.20300000000000001"/>
    <n v="0.24129999999999999"/>
    <n v="0.31340000000000001"/>
    <n v="0.33500000000000002"/>
    <n v="0.3604"/>
    <n v="1.6323000000000001"/>
    <n v="0.2054"/>
    <n v="0.24399999999999999"/>
    <n v="0.33529999999999999"/>
    <n v="0.3609"/>
    <n v="0.31380000000000002"/>
  </r>
  <r>
    <s v="VC_Q5-H_04"/>
    <n v="2"/>
    <s v="VC204"/>
    <n v="597946.6"/>
    <n v="5852379.4000000004"/>
    <n v="25.3"/>
    <x v="0"/>
    <s v="S1"/>
    <x v="0"/>
    <n v="0.3"/>
    <n v="0.65"/>
    <n v="25.6"/>
    <n v="25.95"/>
    <n v="25.774999999999999"/>
    <n v="26"/>
    <n v="0"/>
    <n v="0.65"/>
    <n v="25.3"/>
    <n v="25.95"/>
    <n v="25.625"/>
    <x v="1"/>
    <n v="0"/>
    <n v="99.28"/>
    <n v="0.72"/>
    <n v="0.44"/>
    <n v="0.3"/>
    <n v="0.72"/>
    <n v="0.57999999999999996"/>
    <n v="1.9430000000000001"/>
    <n v="0.14549999999999999"/>
    <n v="0.16350000000000001"/>
    <n v="0.25919999999999999"/>
    <n v="0.28270000000000001"/>
    <n v="0.30840000000000001"/>
    <n v="1.9232"/>
    <n v="0.14729999999999999"/>
    <n v="0.16539999999999999"/>
    <n v="0.2833"/>
    <n v="0.30880000000000002"/>
    <n v="0.25979999999999998"/>
  </r>
  <r>
    <s v="VC_Q5-H_04"/>
    <n v="2"/>
    <s v="VC204"/>
    <n v="597946.6"/>
    <n v="5852379.4000000004"/>
    <n v="25.3"/>
    <x v="0"/>
    <s v="S1"/>
    <x v="1"/>
    <n v="0.65"/>
    <n v="1"/>
    <n v="25.95"/>
    <n v="26.3"/>
    <n v="26.125"/>
    <n v="26"/>
    <n v="0.65"/>
    <n v="1"/>
    <n v="25.95"/>
    <n v="26.3"/>
    <n v="26.125"/>
    <x v="1"/>
    <n v="0.05"/>
    <n v="98.88"/>
    <n v="1.07"/>
    <n v="0.77"/>
    <n v="0.36"/>
    <n v="1.07"/>
    <n v="0.65"/>
    <n v="1.9710000000000001"/>
    <n v="0.14660000000000001"/>
    <n v="0.1656"/>
    <n v="0.26540000000000002"/>
    <n v="0.28889999999999999"/>
    <n v="0.3145"/>
    <n v="1.9469000000000001"/>
    <n v="0.1487"/>
    <n v="0.16789999999999999"/>
    <n v="0.28949999999999998"/>
    <n v="0.315"/>
    <n v="0.2661"/>
  </r>
  <r>
    <s v="VC_Q5-H_04"/>
    <n v="2"/>
    <s v="VC204"/>
    <n v="597946.6"/>
    <n v="5852379.4000000004"/>
    <n v="25.3"/>
    <x v="0"/>
    <s v="S2"/>
    <x v="3"/>
    <n v="1.07"/>
    <n v="2"/>
    <n v="26.37"/>
    <n v="27.3"/>
    <n v="26.835000000000001"/>
    <n v="27"/>
    <n v="1"/>
    <n v="3"/>
    <n v="26.3"/>
    <n v="28.3"/>
    <n v="27.3"/>
    <x v="2"/>
    <n v="0.35"/>
    <n v="98.87"/>
    <n v="0.79"/>
    <n v="0.51"/>
    <n v="0.33"/>
    <n v="0.79"/>
    <n v="0.61"/>
    <n v="1.931"/>
    <n v="0.14760000000000001"/>
    <n v="0.16689999999999999"/>
    <n v="0.26129999999999998"/>
    <n v="0.28499999999999998"/>
    <n v="0.31090000000000001"/>
    <n v="1.9075"/>
    <n v="0.14940000000000001"/>
    <n v="0.16880000000000001"/>
    <n v="0.28510000000000002"/>
    <n v="0.31069999999999998"/>
    <n v="0.2616"/>
  </r>
  <r>
    <s v="VC_Q5-H_04"/>
    <n v="2"/>
    <s v="VC204"/>
    <n v="597946.6"/>
    <n v="5852379.4000000004"/>
    <n v="25.3"/>
    <x v="0"/>
    <s v="S4"/>
    <x v="6"/>
    <n v="3.03"/>
    <n v="3.77"/>
    <n v="28.330000000000002"/>
    <n v="29.07"/>
    <n v="28.700000000000003"/>
    <n v="29"/>
    <n v="3"/>
    <n v="3.77"/>
    <n v="28.3"/>
    <n v="29.07"/>
    <n v="28.685000000000002"/>
    <x v="3"/>
    <n v="0.01"/>
    <n v="99.51"/>
    <n v="0.48"/>
    <n v="0.33"/>
    <n v="0.24"/>
    <n v="0.48"/>
    <n v="0.4"/>
    <n v="1.6519999999999999"/>
    <n v="0.18970000000000001"/>
    <n v="0.20899999999999999"/>
    <n v="0.29420000000000002"/>
    <n v="0.31330000000000002"/>
    <n v="0.33379999999999999"/>
    <n v="1.6422000000000001"/>
    <n v="0.191"/>
    <n v="0.21029999999999999"/>
    <n v="0.31359999999999999"/>
    <n v="0.33400000000000002"/>
    <n v="0.29449999999999998"/>
  </r>
  <r>
    <s v="VC_Q5-H_04"/>
    <n v="2"/>
    <s v="VC204"/>
    <n v="597946.6"/>
    <n v="5852379.4000000004"/>
    <n v="25.3"/>
    <x v="0"/>
    <s v="S5"/>
    <x v="4"/>
    <n v="4.03"/>
    <n v="4.2699999999999996"/>
    <n v="29.330000000000002"/>
    <n v="29.57"/>
    <n v="29.450000000000003"/>
    <n v="29"/>
    <n v="3.77"/>
    <n v="4.2699999999999996"/>
    <n v="29.07"/>
    <n v="29.57"/>
    <n v="29.32"/>
    <x v="3"/>
    <n v="0.03"/>
    <n v="99.65"/>
    <n v="0.33"/>
    <n v="0.28999999999999998"/>
    <n v="0.17"/>
    <n v="0.33"/>
    <n v="0.21"/>
    <n v="1.8582000000000001"/>
    <n v="0.28039999999999998"/>
    <n v="0.33610000000000001"/>
    <n v="0.4748"/>
    <n v="0.52100000000000002"/>
    <n v="0.57689999999999997"/>
    <n v="1.8469"/>
    <n v="0.2823"/>
    <n v="0.33829999999999999"/>
    <n v="0.52139999999999997"/>
    <n v="0.57709999999999995"/>
    <n v="0.47520000000000001"/>
  </r>
  <r>
    <s v="VC_Q5-H_04"/>
    <n v="2"/>
    <s v="VC204"/>
    <n v="597946.6"/>
    <n v="5852379.4000000004"/>
    <n v="25.3"/>
    <x v="0"/>
    <s v="S6"/>
    <x v="5"/>
    <n v="5.09"/>
    <n v="5.8"/>
    <n v="30.39"/>
    <n v="31.1"/>
    <n v="30.745000000000001"/>
    <n v="31"/>
    <n v="4.2699999999999996"/>
    <n v="5.8"/>
    <n v="29.57"/>
    <n v="31.1"/>
    <n v="30.335000000000001"/>
    <x v="4"/>
    <n v="0.04"/>
    <n v="99.18"/>
    <n v="0.77"/>
    <n v="0.63"/>
    <n v="0.37"/>
    <n v="0.77"/>
    <n v="0.51"/>
    <n v="1.8688"/>
    <n v="0.18210000000000001"/>
    <n v="0.2092"/>
    <n v="0.31419999999999998"/>
    <n v="0.34029999999999999"/>
    <n v="0.37480000000000002"/>
    <n v="1.8479000000000001"/>
    <n v="0.18440000000000001"/>
    <n v="0.2117"/>
    <n v="0.34079999999999999"/>
    <n v="0.37540000000000001"/>
    <n v="0.31480000000000002"/>
  </r>
  <r>
    <s v="VC_Q5-H_05"/>
    <n v="2"/>
    <s v="VC205"/>
    <n v="597676.69999999995"/>
    <n v="5851816.5999999996"/>
    <n v="23.6"/>
    <x v="0"/>
    <s v="S1"/>
    <x v="0"/>
    <n v="0.06"/>
    <n v="0.52"/>
    <n v="23.66"/>
    <n v="24.12"/>
    <n v="23.89"/>
    <n v="24"/>
    <n v="0"/>
    <n v="0.52"/>
    <n v="23.6"/>
    <n v="24.12"/>
    <n v="23.86"/>
    <x v="8"/>
    <n v="0.56000000000000005"/>
    <n v="98.54"/>
    <n v="0.9"/>
    <n v="0.65"/>
    <n v="0.5"/>
    <n v="0.9"/>
    <n v="0.75"/>
    <n v="1.4789000000000001"/>
    <n v="0.1459"/>
    <n v="0.16220000000000001"/>
    <n v="0.20619999999999999"/>
    <n v="0.21579999999999999"/>
    <n v="0.2258"/>
    <n v="1.4595"/>
    <n v="0.14779999999999999"/>
    <n v="0.1641"/>
    <n v="0.2157"/>
    <n v="0.22559999999999999"/>
    <n v="0.20630000000000001"/>
  </r>
  <r>
    <s v="VC_Q5-H_05"/>
    <n v="2"/>
    <s v="VC205"/>
    <n v="597676.69999999995"/>
    <n v="5851816.5999999996"/>
    <n v="23.6"/>
    <x v="0"/>
    <s v="S1"/>
    <x v="1"/>
    <n v="0.52"/>
    <n v="1"/>
    <n v="24.12"/>
    <n v="24.6"/>
    <n v="24.36"/>
    <n v="24"/>
    <n v="0.52"/>
    <n v="1"/>
    <n v="24.12"/>
    <n v="24.6"/>
    <n v="24.36"/>
    <x v="8"/>
    <n v="1.18"/>
    <n v="96.84"/>
    <n v="1.98"/>
    <n v="1.67"/>
    <n v="1.17"/>
    <n v="1.98"/>
    <n v="1.48"/>
    <n v="1.5008999999999999"/>
    <n v="0.14319999999999999"/>
    <n v="0.1585"/>
    <n v="0.20530000000000001"/>
    <n v="0.215"/>
    <n v="0.22500000000000001"/>
    <n v="1.4636"/>
    <n v="0.14680000000000001"/>
    <n v="0.16200000000000001"/>
    <n v="0.21479999999999999"/>
    <n v="0.22459999999999999"/>
    <n v="0.20549999999999999"/>
  </r>
  <r>
    <s v="VC_Q5-H_05"/>
    <n v="2"/>
    <s v="VC205"/>
    <n v="597676.69999999995"/>
    <n v="5851816.5999999996"/>
    <n v="23.6"/>
    <x v="0"/>
    <s v="S2"/>
    <x v="2"/>
    <n v="1.05"/>
    <n v="2"/>
    <n v="24.650000000000002"/>
    <n v="25.6"/>
    <n v="25.125"/>
    <n v="25"/>
    <n v="1"/>
    <n v="2"/>
    <n v="24.6"/>
    <n v="25.6"/>
    <n v="25.1"/>
    <x v="0"/>
    <n v="0.28000000000000003"/>
    <n v="98.54"/>
    <n v="1.17"/>
    <n v="0.96"/>
    <n v="0.67"/>
    <n v="1.17"/>
    <n v="0.88"/>
    <n v="1.5871"/>
    <n v="0.14230000000000001"/>
    <n v="0.15559999999999999"/>
    <n v="0.21229999999999999"/>
    <n v="0.2258"/>
    <n v="0.24010000000000001"/>
    <n v="1.5673999999999999"/>
    <n v="0.14419999999999999"/>
    <n v="0.1575"/>
    <n v="0.2261"/>
    <n v="0.2402"/>
    <n v="0.2127"/>
  </r>
  <r>
    <s v="VC_Q5-H_05"/>
    <n v="2"/>
    <s v="VC205"/>
    <n v="597676.69999999995"/>
    <n v="5851816.5999999996"/>
    <n v="23.6"/>
    <x v="0"/>
    <s v="S3"/>
    <x v="3"/>
    <n v="2.16"/>
    <n v="3"/>
    <n v="25.76"/>
    <n v="26.6"/>
    <n v="26.18"/>
    <n v="26"/>
    <n v="2"/>
    <n v="3"/>
    <n v="25.6"/>
    <n v="26.6"/>
    <n v="26.1"/>
    <x v="1"/>
    <n v="0.04"/>
    <n v="98.58"/>
    <n v="1.39"/>
    <n v="1.07"/>
    <n v="0.67"/>
    <n v="1.39"/>
    <n v="0.99"/>
    <n v="1.8281000000000001"/>
    <n v="0.1363"/>
    <n v="0.15010000000000001"/>
    <n v="0.22739999999999999"/>
    <n v="0.2492"/>
    <n v="0.28060000000000002"/>
    <n v="1.8032999999999999"/>
    <n v="0.13869999999999999"/>
    <n v="0.1525"/>
    <n v="0.25"/>
    <n v="0.28149999999999997"/>
    <n v="0.22839999999999999"/>
  </r>
  <r>
    <s v="VC_Q5-H_05"/>
    <n v="2"/>
    <s v="VC205"/>
    <n v="597676.69999999995"/>
    <n v="5851816.5999999996"/>
    <n v="23.6"/>
    <x v="0"/>
    <s v="S4"/>
    <x v="6"/>
    <n v="3.32"/>
    <n v="4"/>
    <n v="26.92"/>
    <n v="27.6"/>
    <n v="27.26"/>
    <n v="27"/>
    <n v="3"/>
    <n v="4"/>
    <n v="26.6"/>
    <n v="27.6"/>
    <n v="27.1"/>
    <x v="2"/>
    <n v="0.03"/>
    <n v="98.54"/>
    <n v="1.44"/>
    <n v="1.23"/>
    <n v="0.82"/>
    <n v="1.44"/>
    <n v="1.02"/>
    <n v="1.8306"/>
    <n v="0.13600000000000001"/>
    <n v="0.14949999999999999"/>
    <n v="0.2271"/>
    <n v="0.249"/>
    <n v="0.27910000000000001"/>
    <n v="1.8055000000000001"/>
    <n v="0.1384"/>
    <n v="0.152"/>
    <n v="0.24990000000000001"/>
    <n v="0.28000000000000003"/>
    <n v="0.2281"/>
  </r>
  <r>
    <s v="VC_Q5-H_05"/>
    <n v="2"/>
    <s v="VC205"/>
    <n v="597676.69999999995"/>
    <n v="5851816.5999999996"/>
    <n v="23.6"/>
    <x v="0"/>
    <s v="S5A"/>
    <x v="4"/>
    <n v="4.03"/>
    <n v="5"/>
    <n v="27.630000000000003"/>
    <n v="28.6"/>
    <n v="28.115000000000002"/>
    <n v="28"/>
    <n v="4"/>
    <n v="5.18"/>
    <n v="27.6"/>
    <n v="28.78"/>
    <n v="28.19"/>
    <x v="5"/>
    <n v="0"/>
    <n v="99.04"/>
    <n v="0.96"/>
    <n v="0.8"/>
    <n v="0.62"/>
    <n v="0.96"/>
    <n v="0.79"/>
    <n v="1.6887000000000001"/>
    <n v="0.1431"/>
    <n v="0.15989999999999999"/>
    <n v="0.22439999999999999"/>
    <n v="0.2417"/>
    <n v="0.26640000000000003"/>
    <n v="1.6664000000000001"/>
    <n v="0.1454"/>
    <n v="0.16220000000000001"/>
    <n v="0.2422"/>
    <n v="0.26719999999999999"/>
    <n v="0.22500000000000001"/>
  </r>
  <r>
    <s v="VC_Q5-H_06"/>
    <n v="2"/>
    <s v="VC206"/>
    <n v="597966.80000000005"/>
    <n v="5851811.2000000002"/>
    <n v="24.8"/>
    <x v="0"/>
    <s v="S1"/>
    <x v="1"/>
    <n v="0.55000000000000004"/>
    <n v="1"/>
    <n v="25.35"/>
    <n v="25.8"/>
    <n v="25.575000000000003"/>
    <n v="26"/>
    <n v="0"/>
    <n v="1"/>
    <n v="24.8"/>
    <n v="25.8"/>
    <n v="25.3"/>
    <x v="0"/>
    <n v="0.03"/>
    <n v="98.56"/>
    <n v="1.41"/>
    <n v="1.17"/>
    <n v="0.55000000000000004"/>
    <n v="1.41"/>
    <n v="0.79"/>
    <n v="1.6371"/>
    <n v="0.1356"/>
    <n v="0.1452"/>
    <n v="0.20669999999999999"/>
    <n v="0.222"/>
    <n v="0.2384"/>
    <n v="1.6247"/>
    <n v="0.13689999999999999"/>
    <n v="0.14660000000000001"/>
    <n v="0.2225"/>
    <n v="0.23880000000000001"/>
    <n v="0.20730000000000001"/>
  </r>
  <r>
    <s v="VC_Q5-H_06"/>
    <n v="2"/>
    <s v="VC206"/>
    <n v="597966.80000000005"/>
    <n v="5851811.2000000002"/>
    <n v="24.8"/>
    <x v="0"/>
    <s v="S2"/>
    <x v="2"/>
    <n v="1.1399999999999999"/>
    <n v="2"/>
    <n v="25.94"/>
    <n v="26.8"/>
    <n v="26.37"/>
    <n v="26"/>
    <n v="1"/>
    <n v="2"/>
    <n v="25.8"/>
    <n v="26.8"/>
    <n v="26.3"/>
    <x v="1"/>
    <n v="0.03"/>
    <n v="98.9"/>
    <n v="1.07"/>
    <n v="0.75"/>
    <n v="0.46"/>
    <n v="1.07"/>
    <n v="0.78"/>
    <n v="1.6535"/>
    <n v="0.1366"/>
    <n v="0.14699999999999999"/>
    <n v="0.21"/>
    <n v="0.22589999999999999"/>
    <n v="0.24299999999999999"/>
    <n v="1.6402000000000001"/>
    <n v="0.13800000000000001"/>
    <n v="0.1484"/>
    <n v="0.22639999999999999"/>
    <n v="0.24340000000000001"/>
    <n v="0.21060000000000001"/>
  </r>
  <r>
    <s v="VC_Q5-H_06"/>
    <n v="2"/>
    <s v="VC206"/>
    <n v="597966.80000000005"/>
    <n v="5851811.2000000002"/>
    <n v="24.8"/>
    <x v="0"/>
    <s v="S3"/>
    <x v="3"/>
    <n v="2.0299999999999998"/>
    <n v="3"/>
    <n v="26.830000000000002"/>
    <n v="27.8"/>
    <n v="27.315000000000001"/>
    <n v="27"/>
    <n v="2"/>
    <n v="3"/>
    <n v="26.8"/>
    <n v="27.8"/>
    <n v="27.3"/>
    <x v="2"/>
    <n v="0.35"/>
    <n v="98.72"/>
    <n v="0.94"/>
    <n v="0.69"/>
    <n v="0.44"/>
    <n v="0.94"/>
    <n v="0.68"/>
    <n v="1.6897"/>
    <n v="0.13969999999999999"/>
    <n v="0.15190000000000001"/>
    <n v="0.21840000000000001"/>
    <n v="0.2361"/>
    <n v="0.2586"/>
    <n v="1.6741999999999999"/>
    <n v="0.1411"/>
    <n v="0.15329999999999999"/>
    <n v="0.23619999999999999"/>
    <n v="0.25850000000000001"/>
    <n v="0.21870000000000001"/>
  </r>
  <r>
    <s v="VC_Q5-H_06"/>
    <n v="2"/>
    <s v="VC206"/>
    <n v="597966.80000000005"/>
    <n v="5851811.2000000002"/>
    <n v="24.8"/>
    <x v="0"/>
    <s v="S4A"/>
    <x v="6"/>
    <n v="3.06"/>
    <n v="4"/>
    <n v="27.86"/>
    <n v="28.8"/>
    <n v="28.33"/>
    <n v="28"/>
    <n v="3"/>
    <n v="4"/>
    <n v="27.8"/>
    <n v="28.8"/>
    <n v="28.3"/>
    <x v="5"/>
    <n v="2.79"/>
    <n v="96.48"/>
    <n v="0.73"/>
    <n v="0.61"/>
    <n v="0.52"/>
    <n v="0.73"/>
    <n v="0.65"/>
    <n v="1.6789000000000001"/>
    <n v="0.14000000000000001"/>
    <n v="0.1522"/>
    <n v="0.21779999999999999"/>
    <n v="0.2351"/>
    <n v="0.25659999999999999"/>
    <n v="1.6525000000000001"/>
    <n v="0.14069999999999999"/>
    <n v="0.15260000000000001"/>
    <n v="0.23250000000000001"/>
    <n v="0.25059999999999999"/>
    <n v="0.216"/>
  </r>
  <r>
    <s v="VC_Q5-H_06"/>
    <n v="2"/>
    <s v="VC206"/>
    <n v="597966.80000000005"/>
    <n v="5851811.2000000002"/>
    <n v="24.8"/>
    <x v="0"/>
    <s v="S4B"/>
    <x v="4"/>
    <n v="4"/>
    <n v="4.4000000000000004"/>
    <n v="28.8"/>
    <n v="29.200000000000003"/>
    <n v="29"/>
    <n v="29"/>
    <n v="4"/>
    <n v="4.4000000000000004"/>
    <n v="28.8"/>
    <n v="29.200000000000003"/>
    <n v="29"/>
    <x v="3"/>
    <n v="2.66"/>
    <n v="96.12"/>
    <n v="1.21"/>
    <n v="1.07"/>
    <n v="0.51"/>
    <n v="1.21"/>
    <n v="0.65"/>
    <n v="1.6476"/>
    <n v="0.13739999999999999"/>
    <n v="0.1477"/>
    <n v="0.2104"/>
    <n v="0.22639999999999999"/>
    <n v="0.24360000000000001"/>
    <n v="1.6240000000000001"/>
    <n v="0.13800000000000001"/>
    <n v="0.14799999999999999"/>
    <n v="0.22420000000000001"/>
    <n v="0.24060000000000001"/>
    <n v="0.2089"/>
  </r>
  <r>
    <s v="VC_Q5-H_07"/>
    <n v="2"/>
    <s v="VC207"/>
    <n v="598733.4"/>
    <n v="5851814.5999999996"/>
    <n v="23.7"/>
    <x v="0"/>
    <s v="S1"/>
    <x v="0"/>
    <n v="0.1"/>
    <n v="0.52"/>
    <n v="23.8"/>
    <n v="24.22"/>
    <n v="24.009999999999998"/>
    <n v="24"/>
    <n v="0"/>
    <n v="0.52"/>
    <n v="23.7"/>
    <n v="24.22"/>
    <n v="23.96"/>
    <x v="8"/>
    <n v="0.35"/>
    <n v="97.92"/>
    <n v="1.73"/>
    <n v="1.31"/>
    <n v="1.1200000000000001"/>
    <n v="1.73"/>
    <n v="1.54"/>
    <n v="1.593"/>
    <n v="0.1399"/>
    <n v="0.1525"/>
    <n v="0.20979999999999999"/>
    <n v="0.2228"/>
    <n v="0.2366"/>
    <n v="1.5601"/>
    <n v="0.1431"/>
    <n v="0.15579999999999999"/>
    <n v="0.2233"/>
    <n v="0.2369"/>
    <n v="0.21049999999999999"/>
  </r>
  <r>
    <s v="VC_Q5-H_07"/>
    <n v="2"/>
    <s v="VC207"/>
    <n v="598733.4"/>
    <n v="5851814.5999999996"/>
    <n v="23.7"/>
    <x v="0"/>
    <s v="S1"/>
    <x v="1"/>
    <n v="0.52"/>
    <n v="1"/>
    <n v="24.22"/>
    <n v="24.7"/>
    <n v="24.46"/>
    <n v="24"/>
    <n v="0.52"/>
    <n v="1.39"/>
    <n v="24.22"/>
    <n v="25.09"/>
    <n v="24.655000000000001"/>
    <x v="0"/>
    <n v="0.26"/>
    <n v="97.83"/>
    <n v="1.9"/>
    <n v="1.6"/>
    <n v="1.02"/>
    <n v="1.9"/>
    <n v="1.33"/>
    <n v="1.6254999999999999"/>
    <n v="0.13850000000000001"/>
    <n v="0.15010000000000001"/>
    <n v="0.2107"/>
    <n v="0.22520000000000001"/>
    <n v="0.24060000000000001"/>
    <n v="1.599"/>
    <n v="0.14119999999999999"/>
    <n v="0.15279999999999999"/>
    <n v="0.22570000000000001"/>
    <n v="0.2409"/>
    <n v="0.21149999999999999"/>
  </r>
  <r>
    <s v="VC_Q5-H_07"/>
    <n v="2"/>
    <s v="VC207"/>
    <n v="598733.4"/>
    <n v="5851814.5999999996"/>
    <n v="23.7"/>
    <x v="0"/>
    <s v="S2"/>
    <x v="2"/>
    <n v="1.39"/>
    <n v="2"/>
    <n v="25.09"/>
    <n v="25.7"/>
    <n v="25.395"/>
    <n v="25"/>
    <n v="1.39"/>
    <n v="2"/>
    <n v="25.09"/>
    <n v="25.7"/>
    <n v="25.395"/>
    <x v="0"/>
    <n v="0.06"/>
    <n v="98.28"/>
    <n v="1.66"/>
    <n v="1.01"/>
    <n v="0.6"/>
    <n v="1.66"/>
    <n v="1.25"/>
    <n v="1.4113"/>
    <n v="0.15759999999999999"/>
    <n v="0.18129999999999999"/>
    <n v="0.21260000000000001"/>
    <n v="0.2225"/>
    <n v="0.23280000000000001"/>
    <n v="1.355"/>
    <n v="0.16450000000000001"/>
    <n v="0.18210000000000001"/>
    <n v="0.22289999999999999"/>
    <n v="0.23319999999999999"/>
    <n v="0.21310000000000001"/>
  </r>
  <r>
    <s v="VC_Q5-H_07"/>
    <n v="2"/>
    <s v="VC207"/>
    <n v="598733.4"/>
    <n v="5851814.5999999996"/>
    <n v="23.7"/>
    <x v="0"/>
    <s v="S5"/>
    <x v="4"/>
    <n v="4.04"/>
    <n v="5"/>
    <n v="27.74"/>
    <n v="28.7"/>
    <n v="28.22"/>
    <n v="28"/>
    <n v="4.04"/>
    <n v="5"/>
    <n v="27.74"/>
    <n v="28.7"/>
    <n v="28.22"/>
    <x v="5"/>
    <n v="0"/>
    <n v="98.35"/>
    <n v="1.65"/>
    <n v="1.03"/>
    <n v="0.6"/>
    <n v="1.65"/>
    <n v="1.23"/>
    <n v="1.6247"/>
    <n v="0.1343"/>
    <n v="0.14360000000000001"/>
    <n v="0.20369999999999999"/>
    <n v="0.21829999999999999"/>
    <n v="0.23380000000000001"/>
    <n v="1.6064000000000001"/>
    <n v="0.1363"/>
    <n v="0.14560000000000001"/>
    <n v="0.219"/>
    <n v="0.2344"/>
    <n v="0.2046"/>
  </r>
  <r>
    <s v="VC_Q5-H_07"/>
    <n v="2"/>
    <s v="VC207"/>
    <n v="598733.4"/>
    <n v="5851814.5999999996"/>
    <n v="23.7"/>
    <x v="0"/>
    <s v="S3"/>
    <x v="3"/>
    <n v="2.0499999999999998"/>
    <n v="3"/>
    <n v="25.75"/>
    <n v="26.7"/>
    <n v="26.225000000000001"/>
    <n v="26"/>
    <n v="2"/>
    <n v="3"/>
    <n v="25.7"/>
    <n v="26.7"/>
    <n v="26.2"/>
    <x v="1"/>
    <n v="7.0000000000000007E-2"/>
    <n v="98.59"/>
    <n v="1.34"/>
    <n v="0.86"/>
    <n v="0.69"/>
    <n v="1.34"/>
    <n v="1.1599999999999999"/>
    <n v="1.7761"/>
    <n v="0.18490000000000001"/>
    <n v="0.20749999999999999"/>
    <n v="0.30509999999999998"/>
    <n v="0.32850000000000001"/>
    <n v="0.35370000000000001"/>
    <n v="1.7395"/>
    <n v="0.18940000000000001"/>
    <n v="0.2122"/>
    <n v="0.32950000000000002"/>
    <n v="0.35449999999999998"/>
    <n v="0.30630000000000002"/>
  </r>
  <r>
    <s v="VC_Q5-H_07"/>
    <n v="2"/>
    <s v="VC207"/>
    <n v="598733.4"/>
    <n v="5851814.5999999996"/>
    <n v="23.7"/>
    <x v="0"/>
    <s v="S4"/>
    <x v="6"/>
    <n v="3.04"/>
    <n v="4"/>
    <n v="26.74"/>
    <n v="27.7"/>
    <n v="27.22"/>
    <n v="27"/>
    <n v="3"/>
    <n v="4"/>
    <n v="26.7"/>
    <n v="27.7"/>
    <n v="27.2"/>
    <x v="2"/>
    <n v="0"/>
    <n v="98.63"/>
    <n v="1.37"/>
    <n v="0.66"/>
    <n v="0.37"/>
    <n v="1.37"/>
    <n v="1.08"/>
    <n v="2.0030999999999999"/>
    <n v="0.1462"/>
    <n v="0.1668"/>
    <n v="0.27139999999999997"/>
    <n v="0.29289999999999999"/>
    <n v="0.316"/>
    <n v="1.9590000000000001"/>
    <n v="0.15"/>
    <n v="0.17080000000000001"/>
    <n v="0.29380000000000001"/>
    <n v="0.31680000000000003"/>
    <n v="0.27250000000000002"/>
  </r>
  <r>
    <s v="VC_Q5-H_07"/>
    <n v="2"/>
    <s v="VC207"/>
    <n v="598733.4"/>
    <n v="5851814.5999999996"/>
    <n v="23.7"/>
    <x v="0"/>
    <s v="S6"/>
    <x v="5"/>
    <n v="5.05"/>
    <n v="5.6"/>
    <n v="28.75"/>
    <n v="29.299999999999997"/>
    <n v="29.024999999999999"/>
    <n v="29"/>
    <n v="5"/>
    <n v="5.6"/>
    <n v="28.7"/>
    <n v="29.299999999999997"/>
    <n v="29"/>
    <x v="3"/>
    <n v="0"/>
    <n v="98.29"/>
    <n v="1.71"/>
    <n v="1.1399999999999999"/>
    <n v="0.55000000000000004"/>
    <n v="1.71"/>
    <n v="1.1200000000000001"/>
    <n v="1.6331"/>
    <n v="0.13769999999999999"/>
    <n v="0.1492"/>
    <n v="0.21029999999999999"/>
    <n v="0.22489999999999999"/>
    <n v="0.2404"/>
    <n v="1.6116999999999999"/>
    <n v="0.1399"/>
    <n v="0.1515"/>
    <n v="0.22559999999999999"/>
    <n v="0.24099999999999999"/>
    <n v="0.21110000000000001"/>
  </r>
  <r>
    <s v="VC_Q5-H_08"/>
    <n v="2"/>
    <s v="VC208"/>
    <n v="598952.69999999995"/>
    <n v="5851811.2999999998"/>
    <n v="23.9"/>
    <x v="0"/>
    <s v="S1"/>
    <x v="0"/>
    <n v="0.13"/>
    <n v="0.51"/>
    <n v="24.029999999999998"/>
    <n v="24.41"/>
    <n v="24.22"/>
    <n v="24"/>
    <n v="0"/>
    <n v="0.51"/>
    <n v="23.9"/>
    <n v="24.41"/>
    <n v="24.155000000000001"/>
    <x v="8"/>
    <n v="0.11"/>
    <n v="96.97"/>
    <n v="2.92"/>
    <n v="2.2599999999999998"/>
    <n v="1.98"/>
    <n v="2.92"/>
    <n v="2.65"/>
    <n v="1.6339999999999999"/>
    <n v="0.13439999999999999"/>
    <n v="0.14480000000000001"/>
    <n v="0.20569999999999999"/>
    <n v="0.21959999999999999"/>
    <n v="0.2344"/>
    <n v="1.5874999999999999"/>
    <n v="0.13919999999999999"/>
    <n v="0.1497"/>
    <n v="0.221"/>
    <n v="0.23549999999999999"/>
    <n v="0.2074"/>
  </r>
  <r>
    <s v="VC_Q5-H_08"/>
    <n v="2"/>
    <s v="VC208"/>
    <n v="598952.69999999995"/>
    <n v="5851811.2999999998"/>
    <n v="23.9"/>
    <x v="0"/>
    <s v="S1"/>
    <x v="1"/>
    <n v="0.51"/>
    <n v="1"/>
    <n v="24.41"/>
    <n v="24.9"/>
    <n v="24.655000000000001"/>
    <n v="25"/>
    <n v="0.51"/>
    <n v="1"/>
    <n v="24.41"/>
    <n v="24.9"/>
    <n v="24.655000000000001"/>
    <x v="0"/>
    <n v="7.0000000000000007E-2"/>
    <n v="97.64"/>
    <n v="2.29"/>
    <n v="1.86"/>
    <n v="1.33"/>
    <n v="2.29"/>
    <n v="1.76"/>
    <n v="1.6059000000000001"/>
    <n v="0.1361"/>
    <n v="0.14649999999999999"/>
    <n v="0.20530000000000001"/>
    <n v="0.21859999999999999"/>
    <n v="0.23280000000000001"/>
    <n v="1.5759000000000001"/>
    <n v="0.13930000000000001"/>
    <n v="0.1497"/>
    <n v="0.2195"/>
    <n v="0.23350000000000001"/>
    <n v="0.2064"/>
  </r>
  <r>
    <s v="VC_Q5-H_08"/>
    <n v="2"/>
    <s v="VC208"/>
    <n v="598952.69999999995"/>
    <n v="5851811.2999999998"/>
    <n v="23.9"/>
    <x v="0"/>
    <s v="S2"/>
    <x v="2"/>
    <n v="1.04"/>
    <n v="1.45"/>
    <n v="24.939999999999998"/>
    <n v="25.349999999999998"/>
    <n v="25.144999999999996"/>
    <n v="25"/>
    <n v="1"/>
    <n v="2"/>
    <n v="24.9"/>
    <n v="25.9"/>
    <n v="25.4"/>
    <x v="0"/>
    <n v="4.7"/>
    <n v="93.64"/>
    <n v="1.66"/>
    <n v="1.01"/>
    <n v="0.91"/>
    <n v="1.66"/>
    <n v="1.56"/>
    <n v="1.7497"/>
    <n v="0.14269999999999999"/>
    <n v="0.15809999999999999"/>
    <n v="0.22950000000000001"/>
    <n v="0.24979999999999999"/>
    <n v="0.3044"/>
    <n v="1.6851"/>
    <n v="0.14549999999999999"/>
    <n v="0.16009999999999999"/>
    <n v="0.24510000000000001"/>
    <n v="0.2878"/>
    <n v="0.22639999999999999"/>
  </r>
  <r>
    <s v="VC_Q5-H_08"/>
    <n v="2"/>
    <s v="VC208"/>
    <n v="598952.69999999995"/>
    <n v="5851811.2999999998"/>
    <n v="23.9"/>
    <x v="0"/>
    <s v="S3"/>
    <x v="3"/>
    <n v="2.04"/>
    <n v="3"/>
    <n v="25.939999999999998"/>
    <n v="26.9"/>
    <n v="26.419999999999998"/>
    <n v="26"/>
    <n v="2"/>
    <n v="3"/>
    <n v="25.9"/>
    <n v="26.9"/>
    <n v="26.4"/>
    <x v="1"/>
    <n v="0.94"/>
    <n v="97.71"/>
    <n v="1.35"/>
    <n v="0.94"/>
    <n v="0.71"/>
    <n v="1.35"/>
    <n v="1.1200000000000001"/>
    <n v="1.9391"/>
    <n v="0.16020000000000001"/>
    <n v="0.19109999999999999"/>
    <n v="0.29170000000000001"/>
    <n v="0.31069999999999998"/>
    <n v="0.33100000000000002"/>
    <n v="1.8613999999999999"/>
    <n v="0.1668"/>
    <n v="0.1951"/>
    <n v="0.3105"/>
    <n v="0.33029999999999998"/>
    <n v="0.29189999999999999"/>
  </r>
  <r>
    <s v="VC_Q5-H_08"/>
    <n v="2"/>
    <s v="VC208"/>
    <n v="598952.69999999995"/>
    <n v="5851811.2999999998"/>
    <n v="23.9"/>
    <x v="0"/>
    <s v="S4"/>
    <x v="6"/>
    <n v="3.05"/>
    <n v="4"/>
    <n v="26.95"/>
    <n v="27.9"/>
    <n v="27.424999999999997"/>
    <n v="27"/>
    <n v="3"/>
    <n v="4"/>
    <n v="26.9"/>
    <n v="27.9"/>
    <n v="27.4"/>
    <x v="2"/>
    <n v="0"/>
    <n v="98.73"/>
    <n v="1.27"/>
    <n v="0.9"/>
    <n v="0.65"/>
    <n v="1.27"/>
    <n v="1.02"/>
    <n v="1.5959000000000001"/>
    <n v="0.1978"/>
    <n v="0.2346"/>
    <n v="0.29899999999999999"/>
    <n v="0.31559999999999999"/>
    <n v="0.3332"/>
    <n v="1.5503"/>
    <n v="0.2041"/>
    <n v="0.24160000000000001"/>
    <n v="0.31630000000000003"/>
    <n v="0.3337"/>
    <n v="0.2999"/>
  </r>
  <r>
    <s v="VC_Q5-H_08"/>
    <n v="2"/>
    <s v="VC208"/>
    <n v="598952.69999999995"/>
    <n v="5851811.2999999998"/>
    <n v="23.9"/>
    <x v="0"/>
    <s v="S5"/>
    <x v="4"/>
    <n v="4"/>
    <n v="5"/>
    <n v="27.9"/>
    <n v="28.9"/>
    <n v="28.4"/>
    <n v="28"/>
    <n v="4"/>
    <n v="5"/>
    <n v="27.9"/>
    <n v="28.9"/>
    <n v="28.4"/>
    <x v="5"/>
    <n v="0.06"/>
    <n v="98.65"/>
    <n v="1.29"/>
    <n v="0.83"/>
    <n v="0.51"/>
    <n v="1.29"/>
    <n v="0.98"/>
    <n v="2.1194999999999999"/>
    <n v="0.15820000000000001"/>
    <n v="0.18820000000000001"/>
    <n v="0.30819999999999997"/>
    <n v="0.3352"/>
    <n v="0.37040000000000001"/>
    <n v="2.0566"/>
    <n v="0.16350000000000001"/>
    <n v="0.19259999999999999"/>
    <n v="0.3362"/>
    <n v="0.37159999999999999"/>
    <n v="0.30940000000000001"/>
  </r>
  <r>
    <s v="VC_Q5-H_08"/>
    <n v="2"/>
    <s v="VC208"/>
    <n v="598952.69999999995"/>
    <n v="5851811.2999999998"/>
    <n v="23.9"/>
    <x v="0"/>
    <s v="S6"/>
    <x v="5"/>
    <n v="5.04"/>
    <n v="6"/>
    <n v="28.939999999999998"/>
    <n v="29.9"/>
    <n v="29.419999999999998"/>
    <n v="29"/>
    <n v="5.04"/>
    <n v="6"/>
    <n v="28.939999999999998"/>
    <n v="29.9"/>
    <n v="29.419999999999998"/>
    <x v="3"/>
    <n v="0"/>
    <n v="98.94"/>
    <n v="1.06"/>
    <n v="0.95"/>
    <n v="0.63"/>
    <n v="1.06"/>
    <n v="0.75"/>
    <n v="1.6168"/>
    <n v="0.12790000000000001"/>
    <n v="0.13389999999999999"/>
    <n v="0.18579999999999999"/>
    <n v="0.20669999999999999"/>
    <n v="0.23"/>
    <n v="1.6120000000000001"/>
    <n v="0.12859999999999999"/>
    <n v="0.13469999999999999"/>
    <n v="0.2074"/>
    <n v="0.2306"/>
    <n v="0.1865"/>
  </r>
  <r>
    <s v="VC_Q5-H_09"/>
    <n v="2"/>
    <s v="VC209"/>
    <n v="598373.4"/>
    <n v="5853567"/>
    <n v="26.4"/>
    <x v="0"/>
    <s v="S1"/>
    <x v="0"/>
    <n v="0.08"/>
    <n v="0.41"/>
    <n v="26.479999999999997"/>
    <n v="26.81"/>
    <n v="26.644999999999996"/>
    <n v="27"/>
    <n v="0"/>
    <n v="0.41"/>
    <n v="26.4"/>
    <n v="26.81"/>
    <n v="26.604999999999997"/>
    <x v="2"/>
    <n v="0.02"/>
    <n v="98.95"/>
    <n v="1.03"/>
    <n v="0.73"/>
    <n v="0.57999999999999996"/>
    <n v="1.03"/>
    <n v="0.88"/>
    <n v="1.6393"/>
    <n v="0.13980000000000001"/>
    <n v="0.1535"/>
    <n v="0.2145"/>
    <n v="0.22919999999999999"/>
    <n v="0.24490000000000001"/>
    <n v="1.6189"/>
    <n v="0.1419"/>
    <n v="0.15570000000000001"/>
    <n v="0.22969999999999999"/>
    <n v="0.24529999999999999"/>
    <n v="0.21510000000000001"/>
  </r>
  <r>
    <s v="VC_Q5-H_09"/>
    <n v="2"/>
    <s v="VC209"/>
    <n v="598373.4"/>
    <n v="5853567"/>
    <n v="26.4"/>
    <x v="0"/>
    <s v="S1"/>
    <x v="1"/>
    <n v="0.41"/>
    <n v="1"/>
    <n v="26.81"/>
    <n v="27.4"/>
    <n v="27.104999999999997"/>
    <n v="27"/>
    <n v="0.41"/>
    <n v="1"/>
    <n v="26.81"/>
    <n v="27.4"/>
    <n v="27.104999999999997"/>
    <x v="2"/>
    <n v="0"/>
    <n v="98.75"/>
    <n v="1.25"/>
    <n v="1.01"/>
    <n v="0.6"/>
    <n v="1.25"/>
    <n v="0.84"/>
    <n v="1.593"/>
    <n v="0.1525"/>
    <n v="0.17610000000000001"/>
    <n v="0.22700000000000001"/>
    <n v="0.2429"/>
    <n v="0.26900000000000002"/>
    <n v="1.5621"/>
    <n v="0.15579999999999999"/>
    <n v="0.17979999999999999"/>
    <n v="0.24340000000000001"/>
    <n v="0.26989999999999997"/>
    <n v="0.2276"/>
  </r>
  <r>
    <s v="VC_Q5-H_09"/>
    <n v="2"/>
    <s v="VC209"/>
    <n v="598373.4"/>
    <n v="5853567"/>
    <n v="26.4"/>
    <x v="0"/>
    <s v="S2"/>
    <x v="2"/>
    <n v="1.04"/>
    <n v="2"/>
    <n v="27.439999999999998"/>
    <n v="28.4"/>
    <n v="27.919999999999998"/>
    <n v="28"/>
    <n v="1"/>
    <n v="2"/>
    <n v="27.4"/>
    <n v="28.4"/>
    <n v="27.9"/>
    <x v="5"/>
    <n v="0"/>
    <n v="98.86"/>
    <n v="1.1399999999999999"/>
    <n v="0.86"/>
    <n v="0.6"/>
    <n v="1.1399999999999999"/>
    <n v="0.87"/>
    <n v="1.6785000000000001"/>
    <n v="0.14230000000000001"/>
    <n v="0.1573"/>
    <n v="0.22189999999999999"/>
    <n v="0.2389"/>
    <n v="0.26300000000000001"/>
    <n v="1.6566000000000001"/>
    <n v="0.14460000000000001"/>
    <n v="0.15970000000000001"/>
    <n v="0.23949999999999999"/>
    <n v="0.26390000000000002"/>
    <n v="0.22259999999999999"/>
  </r>
  <r>
    <s v="VC_Q5-H_09"/>
    <n v="2"/>
    <s v="VC209"/>
    <n v="598373.4"/>
    <n v="5853567"/>
    <n v="26.4"/>
    <x v="0"/>
    <s v="S3"/>
    <x v="3"/>
    <n v="2.0499999999999998"/>
    <n v="3"/>
    <n v="28.45"/>
    <n v="29.4"/>
    <n v="28.924999999999997"/>
    <n v="29"/>
    <n v="2"/>
    <n v="3"/>
    <n v="28.4"/>
    <n v="29.4"/>
    <n v="28.9"/>
    <x v="3"/>
    <n v="0"/>
    <n v="99.06"/>
    <n v="0.94"/>
    <n v="0.82"/>
    <n v="0.55000000000000004"/>
    <n v="0.94"/>
    <n v="0.67"/>
    <n v="1.7017"/>
    <n v="0.1414"/>
    <n v="0.15540000000000001"/>
    <n v="0.22259999999999999"/>
    <n v="0.24060000000000001"/>
    <n v="0.26519999999999999"/>
    <n v="1.6859"/>
    <n v="0.14299999999999999"/>
    <n v="0.15709999999999999"/>
    <n v="0.24110000000000001"/>
    <n v="0.26579999999999998"/>
    <n v="0.22320000000000001"/>
  </r>
  <r>
    <s v="VC_Q5-H_09"/>
    <n v="2"/>
    <s v="VC209"/>
    <n v="598373.4"/>
    <n v="5853567"/>
    <n v="26.4"/>
    <x v="0"/>
    <s v="S4"/>
    <x v="6"/>
    <n v="3.03"/>
    <n v="3.75"/>
    <n v="29.43"/>
    <n v="30.15"/>
    <n v="29.79"/>
    <n v="30"/>
    <n v="3"/>
    <n v="3.75"/>
    <n v="29.4"/>
    <n v="30.15"/>
    <n v="29.774999999999999"/>
    <x v="4"/>
    <n v="0.66"/>
    <n v="98.48"/>
    <n v="0.86"/>
    <n v="0.51"/>
    <n v="0.32"/>
    <n v="0.86"/>
    <n v="0.67"/>
    <n v="1.804"/>
    <n v="0.18110000000000001"/>
    <n v="0.19450000000000001"/>
    <n v="0.2964"/>
    <n v="0.32669999999999999"/>
    <n v="0.36470000000000002"/>
    <n v="1.788"/>
    <n v="0.1825"/>
    <n v="0.19589999999999999"/>
    <n v="0.32629999999999998"/>
    <n v="0.36299999999999999"/>
    <n v="0.2964"/>
  </r>
  <r>
    <s v="VC_Q5-H_09"/>
    <n v="2"/>
    <s v="VC209"/>
    <n v="598373.4"/>
    <n v="5853567"/>
    <n v="26.4"/>
    <x v="0"/>
    <s v="S5B"/>
    <x v="4"/>
    <n v="5"/>
    <n v="5.3"/>
    <n v="31.4"/>
    <n v="31.7"/>
    <n v="31.549999999999997"/>
    <n v="32"/>
    <n v="3.75"/>
    <n v="5.3"/>
    <n v="30.15"/>
    <n v="31.7"/>
    <n v="30.924999999999997"/>
    <x v="6"/>
    <n v="0"/>
    <n v="98.5"/>
    <n v="1.5"/>
    <n v="1.32"/>
    <n v="0.76"/>
    <n v="1.5"/>
    <n v="0.93"/>
    <n v="1.9198"/>
    <n v="0.16309999999999999"/>
    <n v="0.1943"/>
    <n v="0.29360000000000003"/>
    <n v="0.31309999999999999"/>
    <n v="0.33400000000000002"/>
    <n v="1.8441000000000001"/>
    <n v="0.17019999999999999"/>
    <n v="0.19819999999999999"/>
    <n v="0.31390000000000001"/>
    <n v="0.33460000000000001"/>
    <n v="0.29449999999999998"/>
  </r>
  <r>
    <s v="VC_Q5-H_10"/>
    <n v="2"/>
    <s v="VC210"/>
    <n v="598807.5"/>
    <n v="5853712.7000000002"/>
    <n v="24.4"/>
    <x v="0"/>
    <s v="S1"/>
    <x v="1"/>
    <n v="0.2"/>
    <n v="0.92"/>
    <n v="24.599999999999998"/>
    <n v="25.32"/>
    <n v="24.96"/>
    <n v="25"/>
    <n v="0"/>
    <n v="0.92"/>
    <n v="24.4"/>
    <n v="25.32"/>
    <n v="24.86"/>
    <x v="0"/>
    <n v="0.61"/>
    <n v="98.01"/>
    <n v="1.38"/>
    <n v="0.95"/>
    <n v="0.7"/>
    <n v="1.38"/>
    <n v="1.1299999999999999"/>
    <n v="1.9298999999999999"/>
    <n v="0.14000000000000001"/>
    <n v="0.15509999999999999"/>
    <n v="0.2374"/>
    <n v="0.2702"/>
    <n v="0.31719999999999998"/>
    <n v="1.8951"/>
    <n v="0.14280000000000001"/>
    <n v="0.15790000000000001"/>
    <n v="0.27050000000000002"/>
    <n v="0.31680000000000003"/>
    <n v="0.23810000000000001"/>
  </r>
  <r>
    <s v="VC_Q5-H_10"/>
    <n v="2"/>
    <s v="VC210"/>
    <n v="598807.5"/>
    <n v="5853712.7000000002"/>
    <n v="24.4"/>
    <x v="0"/>
    <s v="S1"/>
    <x v="1"/>
    <n v="0.92"/>
    <n v="1"/>
    <n v="25.32"/>
    <n v="25.4"/>
    <n v="25.36"/>
    <n v="25"/>
    <n v="0.92"/>
    <n v="1"/>
    <n v="25.32"/>
    <n v="25.4"/>
    <n v="25.36"/>
    <x v="0"/>
    <n v="0.54"/>
    <n v="96.49"/>
    <n v="2.97"/>
    <n v="2.46"/>
    <n v="1.84"/>
    <n v="2.97"/>
    <n v="2.35"/>
    <n v="1.8677999999999999"/>
    <n v="0.11020000000000001"/>
    <n v="0.12790000000000001"/>
    <n v="0.1825"/>
    <n v="0.2059"/>
    <n v="0.23230000000000001"/>
    <n v="1.7117"/>
    <n v="0.1212"/>
    <n v="0.13039999999999999"/>
    <n v="0.2074"/>
    <n v="0.23319999999999999"/>
    <n v="0.1845"/>
  </r>
  <r>
    <s v="VC_Q5-H_10"/>
    <n v="2"/>
    <s v="VC210"/>
    <n v="598807.5"/>
    <n v="5853712.7000000002"/>
    <n v="24.4"/>
    <x v="0"/>
    <s v="S2"/>
    <x v="2"/>
    <n v="1.1200000000000001"/>
    <n v="2"/>
    <n v="25.52"/>
    <n v="26.4"/>
    <n v="25.96"/>
    <n v="26"/>
    <n v="1"/>
    <n v="2"/>
    <n v="25.4"/>
    <n v="26.4"/>
    <n v="25.9"/>
    <x v="1"/>
    <n v="0.04"/>
    <n v="96.68"/>
    <n v="3.28"/>
    <n v="2.58"/>
    <n v="2.0299999999999998"/>
    <n v="3.28"/>
    <n v="2.73"/>
    <n v="1.6314"/>
    <n v="9.5100000000000004E-2"/>
    <n v="0.10680000000000001"/>
    <n v="0.14660000000000001"/>
    <n v="0.1552"/>
    <n v="0.16420000000000001"/>
    <n v="1.5508"/>
    <n v="0.1007"/>
    <n v="0.11260000000000001"/>
    <n v="0.15609999999999999"/>
    <n v="0.16489999999999999"/>
    <n v="0.1477"/>
  </r>
  <r>
    <s v="VC_Q5-H_10"/>
    <n v="2"/>
    <s v="VC210"/>
    <n v="598807.5"/>
    <n v="5853712.7000000002"/>
    <n v="24.4"/>
    <x v="0"/>
    <s v="S3"/>
    <x v="3"/>
    <n v="2.0699999999999998"/>
    <n v="3"/>
    <n v="26.47"/>
    <n v="27.4"/>
    <n v="26.934999999999999"/>
    <n v="27"/>
    <n v="2"/>
    <n v="3"/>
    <n v="26.4"/>
    <n v="27.4"/>
    <n v="26.9"/>
    <x v="2"/>
    <n v="0"/>
    <n v="97.04"/>
    <n v="2.96"/>
    <n v="2.42"/>
    <n v="1.84"/>
    <n v="2.96"/>
    <n v="2.38"/>
    <n v="1.5976999999999999"/>
    <n v="9.7799999999999998E-2"/>
    <n v="0.1119"/>
    <n v="0.14799999999999999"/>
    <n v="0.15629999999999999"/>
    <n v="0.16500000000000001"/>
    <n v="1.516"/>
    <n v="0.1036"/>
    <n v="0.1182"/>
    <n v="0.15709999999999999"/>
    <n v="0.16569999999999999"/>
    <n v="0.1489"/>
  </r>
  <r>
    <s v="VC_Q5-H_10"/>
    <n v="2"/>
    <s v="VC210"/>
    <n v="598807.5"/>
    <n v="5853712.7000000002"/>
    <n v="24.4"/>
    <x v="0"/>
    <s v="S4"/>
    <x v="4"/>
    <n v="3.05"/>
    <n v="4"/>
    <n v="27.45"/>
    <n v="28.4"/>
    <n v="27.924999999999997"/>
    <n v="28"/>
    <n v="3"/>
    <n v="4.5199999999999996"/>
    <n v="27.4"/>
    <n v="28.919999999999998"/>
    <n v="28.159999999999997"/>
    <x v="5"/>
    <n v="0"/>
    <n v="96.05"/>
    <n v="3.95"/>
    <n v="3.11"/>
    <n v="2.57"/>
    <n v="3.95"/>
    <n v="3.41"/>
    <n v="1.7107000000000001"/>
    <n v="9.2499999999999999E-2"/>
    <n v="0.10730000000000001"/>
    <n v="0.1492"/>
    <n v="0.1583"/>
    <n v="0.16789999999999999"/>
    <n v="1.5749"/>
    <n v="0.1013"/>
    <n v="0.1169"/>
    <n v="0.15959999999999999"/>
    <n v="0.16900000000000001"/>
    <n v="0.1507"/>
  </r>
  <r>
    <s v="VC_Q5-H_10"/>
    <n v="2"/>
    <s v="VC210"/>
    <n v="598807.5"/>
    <n v="5853712.7000000002"/>
    <n v="24.4"/>
    <x v="0"/>
    <s v="S5"/>
    <x v="5"/>
    <n v="4.5199999999999996"/>
    <n v="5"/>
    <n v="28.919999999999998"/>
    <n v="29.4"/>
    <n v="29.159999999999997"/>
    <n v="29"/>
    <n v="4.5199999999999996"/>
    <n v="5.55"/>
    <n v="28.919999999999998"/>
    <n v="29.95"/>
    <n v="29.434999999999999"/>
    <x v="3"/>
    <n v="0.56999999999999995"/>
    <n v="98.18"/>
    <n v="1.25"/>
    <n v="1.07"/>
    <n v="0.81"/>
    <n v="1.25"/>
    <n v="0.99"/>
    <n v="2.9548999999999999"/>
    <n v="0.1537"/>
    <n v="0.1913"/>
    <n v="0.4088"/>
    <n v="0.45419999999999999"/>
    <n v="0.50819999999999999"/>
    <n v="2.8597000000000001"/>
    <n v="0.15890000000000001"/>
    <n v="0.2"/>
    <n v="0.45450000000000002"/>
    <n v="0.50719999999999998"/>
    <n v="0.40970000000000001"/>
  </r>
  <r>
    <s v="VC_Q5-H_11"/>
    <n v="2"/>
    <s v="VC211"/>
    <n v="597974"/>
    <n v="5851474"/>
    <n v="24.2"/>
    <x v="0"/>
    <s v="S1"/>
    <x v="0"/>
    <n v="0.13"/>
    <n v="0.6"/>
    <n v="24.33"/>
    <n v="24.8"/>
    <n v="24.564999999999998"/>
    <n v="25"/>
    <n v="0"/>
    <n v="0.6"/>
    <n v="24.2"/>
    <n v="24.8"/>
    <n v="24.5"/>
    <x v="0"/>
    <n v="0.15"/>
    <n v="98.79"/>
    <n v="1.05"/>
    <n v="0.82"/>
    <n v="0.48"/>
    <n v="1.05"/>
    <n v="0.71"/>
    <n v="1.5786"/>
    <n v="0.14580000000000001"/>
    <n v="0.16170000000000001"/>
    <n v="0.21640000000000001"/>
    <n v="0.23019999999999999"/>
    <n v="0.24490000000000001"/>
    <n v="1.5602"/>
    <n v="0.1477"/>
    <n v="0.16370000000000001"/>
    <n v="0.23050000000000001"/>
    <n v="0.245"/>
    <n v="0.21679999999999999"/>
  </r>
  <r>
    <s v="VC_Q5-H_11"/>
    <n v="2"/>
    <s v="VC211"/>
    <n v="597974"/>
    <n v="5851474"/>
    <n v="24.2"/>
    <x v="0"/>
    <s v="S1"/>
    <x v="1"/>
    <n v="0.6"/>
    <n v="1"/>
    <n v="24.8"/>
    <n v="25.2"/>
    <n v="25"/>
    <n v="25"/>
    <n v="0.6"/>
    <n v="1"/>
    <n v="24.8"/>
    <n v="25.2"/>
    <n v="25"/>
    <x v="0"/>
    <n v="0.22"/>
    <n v="98.28"/>
    <n v="1.5"/>
    <n v="1.28"/>
    <n v="0.72"/>
    <n v="1.5"/>
    <n v="0.95"/>
    <n v="1.5531999999999999"/>
    <n v="0.14530000000000001"/>
    <n v="0.16120000000000001"/>
    <n v="0.2132"/>
    <n v="0.22570000000000001"/>
    <n v="0.2389"/>
    <n v="1.5288999999999999"/>
    <n v="0.14779999999999999"/>
    <n v="0.1638"/>
    <n v="0.22600000000000001"/>
    <n v="0.23910000000000001"/>
    <n v="0.21360000000000001"/>
  </r>
  <r>
    <s v="VC_Q5-H_11"/>
    <n v="2"/>
    <s v="VC211"/>
    <n v="597974"/>
    <n v="5851474"/>
    <n v="24.2"/>
    <x v="0"/>
    <s v="S2"/>
    <x v="2"/>
    <n v="1.61"/>
    <n v="2"/>
    <n v="25.81"/>
    <n v="26.2"/>
    <n v="26.004999999999999"/>
    <n v="26"/>
    <n v="1.61"/>
    <n v="2"/>
    <n v="25.81"/>
    <n v="26.2"/>
    <n v="26.004999999999999"/>
    <x v="1"/>
    <n v="0.77"/>
    <n v="97.94"/>
    <n v="1.29"/>
    <n v="1.1499999999999999"/>
    <n v="0.64"/>
    <n v="1.29"/>
    <n v="0.78"/>
    <n v="1.6336999999999999"/>
    <n v="0.13800000000000001"/>
    <n v="0.14799999999999999"/>
    <n v="0.2097"/>
    <n v="0.22539999999999999"/>
    <n v="0.2424"/>
    <n v="1.6175999999999999"/>
    <n v="0.13919999999999999"/>
    <n v="0.1492"/>
    <n v="0.22520000000000001"/>
    <n v="0.24179999999999999"/>
    <n v="0.2097"/>
  </r>
  <r>
    <s v="VC_Q5-H_11"/>
    <n v="2"/>
    <s v="VC211"/>
    <n v="597974"/>
    <n v="5851474"/>
    <n v="24.2"/>
    <x v="0"/>
    <s v="S3"/>
    <x v="3"/>
    <n v="2.15"/>
    <n v="3"/>
    <n v="26.349999999999998"/>
    <n v="27.2"/>
    <n v="26.774999999999999"/>
    <n v="27"/>
    <n v="2"/>
    <n v="3"/>
    <n v="26.2"/>
    <n v="27.2"/>
    <n v="26.7"/>
    <x v="2"/>
    <n v="0.05"/>
    <n v="99.16"/>
    <n v="0.78"/>
    <n v="0.62"/>
    <n v="0.41"/>
    <n v="0.78"/>
    <n v="0.56999999999999995"/>
    <n v="2.056"/>
    <n v="0.14449999999999999"/>
    <n v="0.1636"/>
    <n v="0.27410000000000001"/>
    <n v="0.29699999999999999"/>
    <n v="0.32190000000000002"/>
    <n v="2.0333999999999999"/>
    <n v="0.14630000000000001"/>
    <n v="0.16550000000000001"/>
    <n v="0.29749999999999999"/>
    <n v="0.32229999999999998"/>
    <n v="0.2747"/>
  </r>
  <r>
    <s v="VC_Q5-H_11"/>
    <n v="2"/>
    <s v="VC211"/>
    <n v="597974"/>
    <n v="5851474"/>
    <n v="24.2"/>
    <x v="0"/>
    <s v="S4"/>
    <x v="6"/>
    <n v="3"/>
    <n v="4"/>
    <n v="27.2"/>
    <n v="28.2"/>
    <n v="27.7"/>
    <n v="28"/>
    <n v="3"/>
    <n v="4"/>
    <n v="27.2"/>
    <n v="28.2"/>
    <n v="27.7"/>
    <x v="5"/>
    <n v="0"/>
    <n v="99.23"/>
    <n v="0.77"/>
    <n v="0.55000000000000004"/>
    <n v="0.3"/>
    <n v="0.77"/>
    <n v="0.52"/>
    <n v="1.8487"/>
    <n v="0.1633"/>
    <n v="0.18820000000000001"/>
    <n v="0.2833"/>
    <n v="0.3019"/>
    <n v="0.32169999999999999"/>
    <n v="1.819"/>
    <n v="0.16619999999999999"/>
    <n v="0.1898"/>
    <n v="0.30230000000000001"/>
    <n v="0.32200000000000001"/>
    <n v="0.2838"/>
  </r>
  <r>
    <s v="VC_Q5-H_11"/>
    <n v="2"/>
    <s v="VC211"/>
    <n v="597974"/>
    <n v="5851474"/>
    <n v="24.2"/>
    <x v="0"/>
    <s v="S5B"/>
    <x v="5"/>
    <n v="5"/>
    <n v="5.4"/>
    <n v="29.2"/>
    <n v="29.6"/>
    <n v="29.4"/>
    <n v="29"/>
    <n v="4"/>
    <n v="5.4"/>
    <n v="28.2"/>
    <n v="29.6"/>
    <n v="28.9"/>
    <x v="3"/>
    <n v="0"/>
    <n v="98.43"/>
    <n v="1.57"/>
    <n v="1.26"/>
    <n v="0.64"/>
    <n v="1.57"/>
    <n v="0.95"/>
    <n v="1.3443000000000001"/>
    <n v="0.1245"/>
    <n v="0.12859999999999999"/>
    <n v="0.15790000000000001"/>
    <n v="0.16739999999999999"/>
    <n v="0.17749999999999999"/>
    <n v="1.3361000000000001"/>
    <n v="0.12559999999999999"/>
    <n v="0.1293"/>
    <n v="0.1678"/>
    <n v="0.17780000000000001"/>
    <n v="0.1583"/>
  </r>
  <r>
    <s v="VC_Q5-H_12"/>
    <n v="2"/>
    <s v="VC212"/>
    <n v="598263.19999999995"/>
    <n v="5851444.4000000004"/>
    <n v="24"/>
    <x v="0"/>
    <s v="S1"/>
    <x v="0"/>
    <n v="0.1"/>
    <n v="0.5"/>
    <n v="24.1"/>
    <n v="24.5"/>
    <n v="24.3"/>
    <n v="24"/>
    <n v="0"/>
    <n v="0.5"/>
    <n v="24"/>
    <n v="24.5"/>
    <n v="24.25"/>
    <x v="8"/>
    <n v="0.55000000000000004"/>
    <n v="98.58"/>
    <n v="0.87"/>
    <n v="0.56999999999999995"/>
    <n v="0.38"/>
    <n v="0.87"/>
    <n v="0.68"/>
    <n v="1.9490000000000001"/>
    <n v="0.14799999999999999"/>
    <n v="0.1666"/>
    <n v="0.25700000000000001"/>
    <n v="0.28839999999999999"/>
    <n v="0.32369999999999999"/>
    <n v="1.9220999999999999"/>
    <n v="0.15"/>
    <n v="0.1686"/>
    <n v="0.28820000000000001"/>
    <n v="0.32300000000000001"/>
    <n v="0.25719999999999998"/>
  </r>
  <r>
    <s v="VC_Q5-H_12"/>
    <n v="2"/>
    <s v="VC212"/>
    <n v="598263.19999999995"/>
    <n v="5851444.4000000004"/>
    <n v="24"/>
    <x v="0"/>
    <s v="S1"/>
    <x v="1"/>
    <n v="0.5"/>
    <n v="1"/>
    <n v="24.5"/>
    <n v="25"/>
    <n v="24.75"/>
    <n v="25"/>
    <n v="0.5"/>
    <n v="1"/>
    <n v="24.5"/>
    <n v="25"/>
    <n v="24.75"/>
    <x v="0"/>
    <n v="0.3"/>
    <n v="98.4"/>
    <n v="1.3"/>
    <n v="1"/>
    <n v="0.49"/>
    <n v="1.3"/>
    <n v="0.79"/>
    <n v="1.899"/>
    <n v="0.14760000000000001"/>
    <n v="0.16619999999999999"/>
    <n v="0.24959999999999999"/>
    <n v="0.28029999999999999"/>
    <n v="0.31490000000000001"/>
    <n v="1.8714999999999999"/>
    <n v="0.15"/>
    <n v="0.16869999999999999"/>
    <n v="0.28079999999999999"/>
    <n v="0.315"/>
    <n v="0.25030000000000002"/>
  </r>
  <r>
    <s v="VC_Q5-H_12"/>
    <n v="2"/>
    <s v="VC212"/>
    <n v="598263.19999999995"/>
    <n v="5851444.4000000004"/>
    <n v="24"/>
    <x v="0"/>
    <s v="S2"/>
    <x v="2"/>
    <n v="1.03"/>
    <n v="1.5"/>
    <n v="25.03"/>
    <n v="25.5"/>
    <n v="25.265000000000001"/>
    <n v="25"/>
    <n v="1"/>
    <n v="1.5"/>
    <n v="25"/>
    <n v="25.5"/>
    <n v="25.25"/>
    <x v="0"/>
    <n v="1.49"/>
    <n v="97.76"/>
    <n v="0.76"/>
    <n v="0.48"/>
    <n v="0.41"/>
    <n v="0.76"/>
    <n v="0.68"/>
    <n v="1.9339"/>
    <n v="0.14849999999999999"/>
    <n v="0.16800000000000001"/>
    <n v="0.25480000000000003"/>
    <n v="0.28710000000000002"/>
    <n v="0.3236"/>
    <n v="1.8976999999999999"/>
    <n v="0.1502"/>
    <n v="0.16950000000000001"/>
    <n v="0.28499999999999998"/>
    <n v="0.32029999999999997"/>
    <n v="0.25359999999999999"/>
  </r>
  <r>
    <s v="VC_Q5-H_12"/>
    <n v="2"/>
    <s v="VC212"/>
    <n v="598263.19999999995"/>
    <n v="5851444.4000000004"/>
    <n v="24"/>
    <x v="0"/>
    <s v="S3"/>
    <x v="3"/>
    <n v="2.0299999999999998"/>
    <n v="3"/>
    <n v="26.03"/>
    <n v="27"/>
    <n v="26.515000000000001"/>
    <n v="27"/>
    <n v="1.5"/>
    <n v="3"/>
    <n v="25.5"/>
    <n v="27"/>
    <n v="26.25"/>
    <x v="1"/>
    <n v="0.13"/>
    <n v="99.27"/>
    <n v="0.6"/>
    <n v="0.42"/>
    <n v="0.31"/>
    <n v="0.6"/>
    <n v="0.49"/>
    <n v="1.7907999999999999"/>
    <n v="0.18029999999999999"/>
    <n v="0.19939999999999999"/>
    <n v="0.29930000000000001"/>
    <n v="0.32290000000000002"/>
    <n v="0.3483"/>
    <n v="1.7769999999999999"/>
    <n v="0.18190000000000001"/>
    <n v="0.20100000000000001"/>
    <n v="0.3231"/>
    <n v="0.34839999999999999"/>
    <n v="0.29970000000000002"/>
  </r>
  <r>
    <s v="VC_Q5-H_12"/>
    <n v="2"/>
    <s v="VC212"/>
    <n v="598263.19999999995"/>
    <n v="5851444.4000000004"/>
    <n v="24"/>
    <x v="0"/>
    <s v="S4"/>
    <x v="6"/>
    <n v="3.02"/>
    <n v="4"/>
    <n v="27.02"/>
    <n v="28"/>
    <n v="27.509999999999998"/>
    <n v="28"/>
    <n v="3"/>
    <n v="4"/>
    <n v="27"/>
    <n v="28"/>
    <n v="27.5"/>
    <x v="5"/>
    <n v="0.16"/>
    <n v="99.28"/>
    <n v="0.56000000000000005"/>
    <n v="0.42"/>
    <n v="0.28999999999999998"/>
    <n v="0.56000000000000005"/>
    <n v="0.43"/>
    <n v="1.8893"/>
    <n v="0.16539999999999999"/>
    <n v="0.1903"/>
    <n v="0.2913"/>
    <n v="0.31240000000000001"/>
    <n v="0.33510000000000001"/>
    <n v="1.8647"/>
    <n v="0.1676"/>
    <n v="0.19170000000000001"/>
    <n v="0.31259999999999999"/>
    <n v="0.3352"/>
    <n v="0.29160000000000003"/>
  </r>
  <r>
    <s v="VC_Q5-H_12"/>
    <n v="2"/>
    <s v="VC212"/>
    <n v="598263.19999999995"/>
    <n v="5851444.4000000004"/>
    <n v="24"/>
    <x v="0"/>
    <s v="S5"/>
    <x v="4"/>
    <n v="4.03"/>
    <n v="5"/>
    <n v="28.03"/>
    <n v="29"/>
    <n v="28.515000000000001"/>
    <n v="29"/>
    <n v="4"/>
    <n v="5"/>
    <n v="28"/>
    <n v="29"/>
    <n v="28.5"/>
    <x v="3"/>
    <n v="0"/>
    <n v="99.08"/>
    <n v="0.92"/>
    <n v="0.79"/>
    <n v="0.51"/>
    <n v="0.92"/>
    <n v="0.64"/>
    <n v="1.6277999999999999"/>
    <n v="0.1328"/>
    <n v="0.14080000000000001"/>
    <n v="0.20019999999999999"/>
    <n v="0.21609999999999999"/>
    <n v="0.23319999999999999"/>
    <n v="1.6201000000000001"/>
    <n v="0.13370000000000001"/>
    <n v="0.1416"/>
    <n v="0.2165"/>
    <n v="0.2336"/>
    <n v="0.20069999999999999"/>
  </r>
  <r>
    <s v="VC_Q5-H_13"/>
    <n v="2"/>
    <s v="VC213"/>
    <n v="598419.5"/>
    <n v="5852792.0999999996"/>
    <n v="29"/>
    <x v="0"/>
    <s v="S1"/>
    <x v="0"/>
    <n v="0.23"/>
    <n v="0.6"/>
    <n v="29.23"/>
    <n v="29.6"/>
    <n v="29.414999999999999"/>
    <n v="29"/>
    <n v="0"/>
    <n v="0.6"/>
    <n v="29"/>
    <n v="29.6"/>
    <n v="29.3"/>
    <x v="3"/>
    <n v="0.22"/>
    <n v="99.36"/>
    <n v="0.42"/>
    <n v="0.3"/>
    <n v="0.24"/>
    <n v="0.42"/>
    <n v="0.37"/>
    <n v="3.2965"/>
    <n v="0.15659999999999999"/>
    <n v="0.1825"/>
    <n v="0.45419999999999999"/>
    <n v="0.5161"/>
    <n v="0.57809999999999995"/>
    <n v="3.2664"/>
    <n v="0.158"/>
    <n v="0.1842"/>
    <n v="0.51619999999999999"/>
    <n v="0.57789999999999997"/>
    <n v="0.4546"/>
  </r>
  <r>
    <s v="VC_Q5-H_13"/>
    <n v="2"/>
    <s v="VC213"/>
    <n v="598419.5"/>
    <n v="5852792.0999999996"/>
    <n v="29"/>
    <x v="0"/>
    <s v="S1"/>
    <x v="1"/>
    <n v="0.6"/>
    <n v="1"/>
    <n v="29.6"/>
    <n v="30"/>
    <n v="29.8"/>
    <n v="30"/>
    <n v="0.6"/>
    <n v="1"/>
    <n v="29.6"/>
    <n v="30"/>
    <n v="29.8"/>
    <x v="4"/>
    <n v="1.27"/>
    <n v="98.08"/>
    <n v="0.65"/>
    <n v="0.56000000000000005"/>
    <n v="0.3"/>
    <n v="0.65"/>
    <n v="0.38"/>
    <n v="3.3607999999999998"/>
    <n v="0.17199999999999999"/>
    <n v="0.23200000000000001"/>
    <n v="0.51910000000000001"/>
    <n v="0.57820000000000005"/>
    <n v="0.64390000000000003"/>
    <n v="3.3098000000000001"/>
    <n v="0.17349999999999999"/>
    <n v="0.23400000000000001"/>
    <n v="0.57440000000000002"/>
    <n v="0.63859999999999995"/>
    <n v="0.51659999999999995"/>
  </r>
  <r>
    <s v="VC_Q5-H_13"/>
    <n v="2"/>
    <s v="VC213"/>
    <n v="598419.5"/>
    <n v="5852792.0999999996"/>
    <n v="29"/>
    <x v="0"/>
    <s v="S2"/>
    <x v="2"/>
    <n v="1.03"/>
    <n v="2"/>
    <n v="30.03"/>
    <n v="31"/>
    <n v="30.515000000000001"/>
    <n v="31"/>
    <n v="1"/>
    <n v="2"/>
    <n v="30"/>
    <n v="31"/>
    <n v="30.5"/>
    <x v="6"/>
    <n v="0.17"/>
    <n v="99.29"/>
    <n v="0.54"/>
    <n v="0.38"/>
    <n v="0.27"/>
    <n v="0.54"/>
    <n v="0.43"/>
    <n v="2.8733"/>
    <n v="0.15079999999999999"/>
    <n v="0.17199999999999999"/>
    <n v="0.3926"/>
    <n v="0.43330000000000002"/>
    <n v="0.47810000000000002"/>
    <n v="2.8475999999999999"/>
    <n v="0.15229999999999999"/>
    <n v="0.1736"/>
    <n v="0.43359999999999999"/>
    <n v="0.47810000000000002"/>
    <n v="0.3931"/>
  </r>
  <r>
    <s v="VC_Q5-H_13"/>
    <n v="2"/>
    <s v="VC213"/>
    <n v="598419.5"/>
    <n v="5852792.0999999996"/>
    <n v="29"/>
    <x v="0"/>
    <s v="S3"/>
    <x v="3"/>
    <n v="2.04"/>
    <n v="2.81"/>
    <n v="31.04"/>
    <n v="31.81"/>
    <n v="31.424999999999997"/>
    <n v="31"/>
    <n v="2"/>
    <n v="2.81"/>
    <n v="31"/>
    <n v="31.81"/>
    <n v="31.405000000000001"/>
    <x v="6"/>
    <n v="0"/>
    <n v="99.2"/>
    <n v="0.8"/>
    <n v="0.69"/>
    <n v="0.37"/>
    <n v="0.8"/>
    <n v="0.48"/>
    <n v="2.4533999999999998"/>
    <n v="0.1396"/>
    <n v="0.1522"/>
    <n v="0.29509999999999997"/>
    <n v="0.34239999999999998"/>
    <n v="0.38619999999999999"/>
    <n v="2.4420999999999999"/>
    <n v="0.1406"/>
    <n v="0.1532"/>
    <n v="0.34339999999999998"/>
    <n v="0.38679999999999998"/>
    <n v="0.29620000000000002"/>
  </r>
  <r>
    <s v="VC_Q5-H_13"/>
    <n v="2"/>
    <s v="VC213"/>
    <n v="598419.5"/>
    <n v="5852792.0999999996"/>
    <n v="29"/>
    <x v="0"/>
    <s v="S4"/>
    <x v="6"/>
    <n v="3.05"/>
    <n v="4"/>
    <n v="32.049999999999997"/>
    <n v="33"/>
    <n v="32.524999999999999"/>
    <n v="33"/>
    <n v="3"/>
    <n v="4"/>
    <n v="32"/>
    <n v="33"/>
    <n v="32.5"/>
    <x v="7"/>
    <n v="0.96"/>
    <n v="98.31"/>
    <n v="0.73"/>
    <n v="0.44"/>
    <n v="0.28999999999999998"/>
    <n v="0.73"/>
    <n v="0.57999999999999996"/>
    <n v="2.1916000000000002"/>
    <n v="0.17419999999999999"/>
    <n v="0.20280000000000001"/>
    <n v="0.33829999999999999"/>
    <n v="0.38179999999999997"/>
    <n v="0.43480000000000002"/>
    <n v="2.1398000000000001"/>
    <n v="0.17760000000000001"/>
    <n v="0.20480000000000001"/>
    <n v="0.38009999999999999"/>
    <n v="0.43190000000000001"/>
    <n v="0.33760000000000001"/>
  </r>
  <r>
    <s v="VC_Q5-H_13"/>
    <n v="2"/>
    <s v="VC213"/>
    <n v="598419.5"/>
    <n v="5852792.0999999996"/>
    <n v="29"/>
    <x v="0"/>
    <s v="S5"/>
    <x v="5"/>
    <n v="4.04"/>
    <n v="5"/>
    <n v="33.04"/>
    <n v="34"/>
    <n v="33.519999999999996"/>
    <n v="34"/>
    <n v="4.04"/>
    <n v="5.65"/>
    <n v="33.04"/>
    <n v="34.65"/>
    <n v="33.844999999999999"/>
    <x v="9"/>
    <n v="0"/>
    <n v="99.46"/>
    <n v="0.54"/>
    <n v="0.52"/>
    <n v="0.26"/>
    <n v="0.54"/>
    <n v="0.28999999999999998"/>
    <n v="1.6165"/>
    <n v="0.19700000000000001"/>
    <n v="0.22159999999999999"/>
    <n v="0.29970000000000002"/>
    <n v="0.31840000000000002"/>
    <n v="0.33829999999999999"/>
    <n v="1.6077999999999999"/>
    <n v="0.19819999999999999"/>
    <n v="0.22289999999999999"/>
    <n v="0.31859999999999999"/>
    <n v="0.33850000000000002"/>
    <n v="0.2999"/>
  </r>
  <r>
    <s v="VC_Q5-H_14"/>
    <n v="2"/>
    <s v="VC214"/>
    <n v="598699.6"/>
    <n v="5852493.2999999998"/>
    <n v="24.3"/>
    <x v="0"/>
    <s v="S1"/>
    <x v="0"/>
    <n v="0.12"/>
    <n v="0.68"/>
    <n v="24.42"/>
    <n v="24.98"/>
    <n v="24.700000000000003"/>
    <n v="25"/>
    <n v="0"/>
    <n v="0.68"/>
    <n v="24.3"/>
    <n v="24.98"/>
    <n v="24.64"/>
    <x v="0"/>
    <n v="2.79"/>
    <n v="94.72"/>
    <n v="2.4900000000000002"/>
    <n v="1.98"/>
    <n v="1.68"/>
    <n v="2.4900000000000002"/>
    <n v="2.19"/>
    <n v="1.8967000000000001"/>
    <n v="0.1447"/>
    <n v="0.1648"/>
    <n v="0.24229999999999999"/>
    <n v="0.27439999999999998"/>
    <n v="0.31540000000000001"/>
    <n v="1.7945"/>
    <n v="0.1512"/>
    <n v="0.17119999999999999"/>
    <n v="0.27129999999999999"/>
    <n v="0.30980000000000002"/>
    <n v="0.24160000000000001"/>
  </r>
  <r>
    <s v="VC_Q5-H_14"/>
    <n v="2"/>
    <s v="VC214"/>
    <n v="598699.6"/>
    <n v="5852493.2999999998"/>
    <n v="24.3"/>
    <x v="0"/>
    <s v="S1"/>
    <x v="1"/>
    <n v="0.68"/>
    <n v="1"/>
    <n v="24.98"/>
    <n v="25.3"/>
    <n v="25.14"/>
    <n v="25"/>
    <n v="0.68"/>
    <n v="1"/>
    <n v="24.98"/>
    <n v="25.3"/>
    <n v="25.14"/>
    <x v="0"/>
    <n v="0.03"/>
    <n v="98.6"/>
    <n v="1.37"/>
    <n v="1.1299999999999999"/>
    <n v="0.64"/>
    <n v="1.37"/>
    <n v="0.88"/>
    <n v="2.0085999999999999"/>
    <n v="0.15240000000000001"/>
    <n v="0.1802"/>
    <n v="0.28299999999999997"/>
    <n v="0.30620000000000003"/>
    <n v="0.33119999999999999"/>
    <n v="1.9612000000000001"/>
    <n v="0.1565"/>
    <n v="0.1825"/>
    <n v="0.307"/>
    <n v="0.33179999999999998"/>
    <n v="0.28399999999999997"/>
  </r>
  <r>
    <s v="VC_Q5-H_14"/>
    <n v="2"/>
    <s v="VC214"/>
    <n v="598699.6"/>
    <n v="5852493.2999999998"/>
    <n v="24.3"/>
    <x v="0"/>
    <s v="S2"/>
    <x v="2"/>
    <n v="1.03"/>
    <n v="2"/>
    <n v="25.330000000000002"/>
    <n v="26.3"/>
    <n v="25.815000000000001"/>
    <n v="26"/>
    <n v="1"/>
    <n v="2"/>
    <n v="25.3"/>
    <n v="26.3"/>
    <n v="25.8"/>
    <x v="1"/>
    <n v="0.01"/>
    <n v="99.25"/>
    <n v="0.74"/>
    <n v="0.74"/>
    <n v="0.39"/>
    <n v="0.74"/>
    <n v="0.39"/>
    <n v="1.6632"/>
    <n v="0.18090000000000001"/>
    <n v="0.1946"/>
    <n v="0.28149999999999997"/>
    <n v="0.3009"/>
    <n v="0.32169999999999999"/>
    <n v="1.6564000000000001"/>
    <n v="0.18190000000000001"/>
    <n v="0.1956"/>
    <n v="0.30120000000000002"/>
    <n v="0.32190000000000002"/>
    <n v="0.28189999999999998"/>
  </r>
  <r>
    <s v="VC_Q5-H_14"/>
    <n v="2"/>
    <s v="VC214"/>
    <n v="598699.6"/>
    <n v="5852493.2999999998"/>
    <n v="24.3"/>
    <x v="0"/>
    <s v="S3"/>
    <x v="3"/>
    <n v="2.0299999999999998"/>
    <n v="3"/>
    <n v="26.330000000000002"/>
    <n v="27.3"/>
    <n v="26.815000000000001"/>
    <n v="27"/>
    <n v="2"/>
    <n v="3"/>
    <n v="26.3"/>
    <n v="27.3"/>
    <n v="26.8"/>
    <x v="2"/>
    <n v="0"/>
    <n v="98.86"/>
    <n v="1.1399999999999999"/>
    <n v="0.91"/>
    <n v="0.52"/>
    <n v="1.1399999999999999"/>
    <n v="0.75"/>
    <n v="1.6165"/>
    <n v="0.13550000000000001"/>
    <n v="0.14449999999999999"/>
    <n v="0.20419999999999999"/>
    <n v="0.219"/>
    <n v="0.2349"/>
    <n v="1.6059000000000001"/>
    <n v="0.13669999999999999"/>
    <n v="0.1457"/>
    <n v="0.2195"/>
    <n v="0.23530000000000001"/>
    <n v="0.20469999999999999"/>
  </r>
  <r>
    <s v="VC_Q5-H_14"/>
    <n v="2"/>
    <s v="VC214"/>
    <n v="598699.6"/>
    <n v="5852493.2999999998"/>
    <n v="24.3"/>
    <x v="0"/>
    <s v="S4"/>
    <x v="4"/>
    <n v="3.03"/>
    <n v="4"/>
    <n v="27.330000000000002"/>
    <n v="28.3"/>
    <n v="27.815000000000001"/>
    <n v="28"/>
    <n v="3"/>
    <n v="4.75"/>
    <n v="27.3"/>
    <n v="29.05"/>
    <n v="28.175000000000001"/>
    <x v="5"/>
    <n v="0"/>
    <n v="99.16"/>
    <n v="0.84"/>
    <n v="0.83"/>
    <n v="0.51"/>
    <n v="0.84"/>
    <n v="0.52"/>
    <n v="1.5387999999999999"/>
    <n v="0.13389999999999999"/>
    <n v="0.1409"/>
    <n v="0.19320000000000001"/>
    <n v="0.20599999999999999"/>
    <n v="0.21970000000000001"/>
    <n v="1.5335000000000001"/>
    <n v="0.13450000000000001"/>
    <n v="0.14149999999999999"/>
    <n v="0.20630000000000001"/>
    <n v="0.21990000000000001"/>
    <n v="0.19350000000000001"/>
  </r>
  <r>
    <s v="VC_Q5-H_14"/>
    <n v="2"/>
    <s v="VC214"/>
    <n v="598699.6"/>
    <n v="5852493.2999999998"/>
    <n v="24.3"/>
    <x v="0"/>
    <s v="S6"/>
    <x v="5"/>
    <n v="5.12"/>
    <n v="5.95"/>
    <n v="29.42"/>
    <n v="30.25"/>
    <n v="29.835000000000001"/>
    <n v="30"/>
    <n v="4.75"/>
    <n v="5.95"/>
    <n v="29.05"/>
    <n v="30.25"/>
    <n v="29.65"/>
    <x v="4"/>
    <n v="0.35"/>
    <n v="98.88"/>
    <n v="0.77"/>
    <n v="0.57999999999999996"/>
    <n v="0.34"/>
    <n v="0.77"/>
    <n v="0.53"/>
    <n v="2.1318000000000001"/>
    <n v="0.1605"/>
    <n v="0.1845"/>
    <n v="0.30409999999999998"/>
    <n v="0.3422"/>
    <n v="0.38519999999999999"/>
    <n v="2.1012"/>
    <n v="0.1628"/>
    <n v="0.1857"/>
    <n v="0.3422"/>
    <n v="0.38479999999999998"/>
    <n v="0.3044"/>
  </r>
  <r>
    <s v="VC_Q5-H_15"/>
    <n v="2"/>
    <s v="VC215"/>
    <n v="597729.19999999995"/>
    <n v="5853479"/>
    <n v="24.3"/>
    <x v="0"/>
    <s v="S1"/>
    <x v="0"/>
    <n v="0.23"/>
    <n v="0.61"/>
    <n v="24.53"/>
    <n v="24.91"/>
    <n v="24.72"/>
    <n v="25"/>
    <n v="0"/>
    <n v="0.61"/>
    <n v="24.3"/>
    <n v="24.91"/>
    <n v="24.605"/>
    <x v="0"/>
    <n v="0.51"/>
    <n v="98.24"/>
    <n v="1.25"/>
    <n v="0.99"/>
    <n v="0.72"/>
    <n v="1.25"/>
    <n v="0.97"/>
    <n v="1.6149"/>
    <n v="0.1409"/>
    <n v="0.15329999999999999"/>
    <n v="0.21290000000000001"/>
    <n v="0.22750000000000001"/>
    <n v="0.24299999999999999"/>
    <n v="1.5933999999999999"/>
    <n v="0.14280000000000001"/>
    <n v="0.1552"/>
    <n v="0.2276"/>
    <n v="0.2429"/>
    <n v="0.21329999999999999"/>
  </r>
  <r>
    <s v="VC_Q5-H_15"/>
    <n v="2"/>
    <s v="VC215"/>
    <n v="597729.19999999995"/>
    <n v="5853479"/>
    <n v="24.3"/>
    <x v="0"/>
    <s v="S1"/>
    <x v="1"/>
    <n v="0.61"/>
    <n v="1"/>
    <n v="24.91"/>
    <n v="25.3"/>
    <n v="25.105"/>
    <n v="25"/>
    <n v="0.61"/>
    <n v="1"/>
    <n v="24.91"/>
    <n v="25.3"/>
    <n v="25.105"/>
    <x v="0"/>
    <n v="0.53"/>
    <n v="97.96"/>
    <n v="1.52"/>
    <n v="1.4"/>
    <n v="0.8"/>
    <n v="1.52"/>
    <n v="0.91"/>
    <n v="1.607"/>
    <n v="0.14269999999999999"/>
    <n v="0.15629999999999999"/>
    <n v="0.21490000000000001"/>
    <n v="0.2293"/>
    <n v="0.2447"/>
    <n v="1.585"/>
    <n v="0.1447"/>
    <n v="0.1583"/>
    <n v="0.22939999999999999"/>
    <n v="0.2445"/>
    <n v="0.2152"/>
  </r>
  <r>
    <s v="VC_Q5-H_15"/>
    <n v="2"/>
    <s v="VC215"/>
    <n v="597729.19999999995"/>
    <n v="5853479"/>
    <n v="24.3"/>
    <x v="0"/>
    <s v="S2"/>
    <x v="2"/>
    <n v="1.1200000000000001"/>
    <n v="2"/>
    <n v="25.42"/>
    <n v="26.3"/>
    <n v="25.86"/>
    <n v="26"/>
    <n v="1"/>
    <n v="2.38"/>
    <n v="25.3"/>
    <n v="26.68"/>
    <n v="25.990000000000002"/>
    <x v="1"/>
    <n v="1.1200000000000001"/>
    <n v="97.31"/>
    <n v="1.57"/>
    <n v="1.35"/>
    <n v="0.91"/>
    <n v="1.57"/>
    <n v="1.1399999999999999"/>
    <n v="1.6829000000000001"/>
    <n v="0.13980000000000001"/>
    <n v="0.1522"/>
    <n v="0.218"/>
    <n v="0.23530000000000001"/>
    <n v="0.25940000000000002"/>
    <n v="1.6544000000000001"/>
    <n v="0.14199999999999999"/>
    <n v="0.1542"/>
    <n v="0.2349"/>
    <n v="0.25740000000000002"/>
    <n v="0.218"/>
  </r>
  <r>
    <s v="VC_Q5-H_15"/>
    <n v="2"/>
    <s v="VC215"/>
    <n v="597729.19999999995"/>
    <n v="5853479"/>
    <n v="24.3"/>
    <x v="0"/>
    <s v="S3"/>
    <x v="3"/>
    <n v="2.54"/>
    <n v="3"/>
    <n v="26.84"/>
    <n v="27.3"/>
    <n v="27.07"/>
    <n v="27"/>
    <n v="2.38"/>
    <n v="3"/>
    <n v="26.68"/>
    <n v="27.3"/>
    <n v="26.990000000000002"/>
    <x v="2"/>
    <n v="0.01"/>
    <n v="98.58"/>
    <n v="1.41"/>
    <n v="1.02"/>
    <n v="0.52"/>
    <n v="1.41"/>
    <n v="0.92"/>
    <n v="1.8706"/>
    <n v="0.14940000000000001"/>
    <n v="0.1729"/>
    <n v="0.26029999999999998"/>
    <n v="0.27960000000000002"/>
    <n v="0.30030000000000001"/>
    <n v="1.8309"/>
    <n v="0.15310000000000001"/>
    <n v="0.1769"/>
    <n v="0.28029999999999999"/>
    <n v="0.3009"/>
    <n v="0.2611"/>
  </r>
  <r>
    <s v="VC_Q5-H_15"/>
    <n v="2"/>
    <s v="VC215"/>
    <n v="597729.19999999995"/>
    <n v="5853479"/>
    <n v="24.3"/>
    <x v="0"/>
    <s v="S4"/>
    <x v="6"/>
    <n v="3.04"/>
    <n v="4"/>
    <n v="27.34"/>
    <n v="28.3"/>
    <n v="27.82"/>
    <n v="28"/>
    <n v="3"/>
    <n v="4"/>
    <n v="27.3"/>
    <n v="28.3"/>
    <n v="27.8"/>
    <x v="5"/>
    <n v="0.02"/>
    <n v="98.85"/>
    <n v="1.1299999999999999"/>
    <n v="0.89"/>
    <n v="0.5"/>
    <n v="1.1299999999999999"/>
    <n v="0.74"/>
    <n v="1.6223000000000001"/>
    <n v="0.14080000000000001"/>
    <n v="0.15340000000000001"/>
    <n v="0.2137"/>
    <n v="0.22839999999999999"/>
    <n v="0.2442"/>
    <n v="1.6071"/>
    <n v="0.1424"/>
    <n v="0.155"/>
    <n v="0.2288"/>
    <n v="0.2445"/>
    <n v="0.2142"/>
  </r>
  <r>
    <s v="VC_Q5-H_15"/>
    <n v="2"/>
    <s v="VC215"/>
    <n v="597729.19999999995"/>
    <n v="5853479"/>
    <n v="24.3"/>
    <x v="0"/>
    <s v="S5"/>
    <x v="4"/>
    <n v="4"/>
    <n v="4.92"/>
    <n v="28.3"/>
    <n v="29.22"/>
    <n v="28.759999999999998"/>
    <n v="29"/>
    <n v="4"/>
    <n v="4.92"/>
    <n v="28.3"/>
    <n v="29.22"/>
    <n v="28.759999999999998"/>
    <x v="3"/>
    <n v="0.19"/>
    <n v="98.94"/>
    <n v="0.88"/>
    <n v="0.71"/>
    <n v="0.46"/>
    <n v="0.88"/>
    <n v="0.62"/>
    <n v="1.6193"/>
    <n v="0.13780000000000001"/>
    <n v="0.1479"/>
    <n v="0.20830000000000001"/>
    <n v="0.22309999999999999"/>
    <n v="0.23899999999999999"/>
    <n v="1.6084000000000001"/>
    <n v="0.13880000000000001"/>
    <n v="0.14899999999999999"/>
    <n v="0.2233"/>
    <n v="0.23910000000000001"/>
    <n v="0.20860000000000001"/>
  </r>
  <r>
    <s v="VC_Q5-H_16"/>
    <n v="2"/>
    <s v="VC216"/>
    <n v="597714"/>
    <n v="5852880.4000000004"/>
    <n v="24.5"/>
    <x v="0"/>
    <s v="S1"/>
    <x v="0"/>
    <n v="0.12"/>
    <n v="0.6"/>
    <n v="24.62"/>
    <n v="25.1"/>
    <n v="24.86"/>
    <n v="25"/>
    <n v="0"/>
    <n v="0.6"/>
    <n v="24.5"/>
    <n v="25.1"/>
    <n v="24.8"/>
    <x v="0"/>
    <n v="0.74"/>
    <n v="98.37"/>
    <n v="0.89"/>
    <n v="0.77"/>
    <n v="0.64"/>
    <n v="0.89"/>
    <n v="0.77"/>
    <n v="1.6534"/>
    <n v="0.14419999999999999"/>
    <n v="0.15859999999999999"/>
    <n v="0.22159999999999999"/>
    <n v="0.23849999999999999"/>
    <n v="0.26750000000000002"/>
    <n v="1.6325000000000001"/>
    <n v="0.1459"/>
    <n v="0.16020000000000001"/>
    <n v="0.2382"/>
    <n v="0.2661"/>
    <n v="0.22159999999999999"/>
  </r>
  <r>
    <s v="VC_Q5-H_16"/>
    <n v="2"/>
    <s v="VC216"/>
    <n v="597714"/>
    <n v="5852880.4000000004"/>
    <n v="24.5"/>
    <x v="0"/>
    <s v="S1"/>
    <x v="1"/>
    <n v="0.6"/>
    <n v="1"/>
    <n v="25.1"/>
    <n v="25.5"/>
    <n v="25.3"/>
    <n v="25"/>
    <n v="0.6"/>
    <n v="1"/>
    <n v="25.1"/>
    <n v="25.5"/>
    <n v="25.3"/>
    <x v="0"/>
    <n v="0.79"/>
    <n v="97.75"/>
    <n v="1.46"/>
    <n v="1.31"/>
    <n v="0.82"/>
    <n v="1.46"/>
    <n v="0.97"/>
    <n v="1.6701999999999999"/>
    <n v="0.1406"/>
    <n v="0.1527"/>
    <n v="0.21759999999999999"/>
    <n v="0.23480000000000001"/>
    <n v="0.25729999999999997"/>
    <n v="1.6473"/>
    <n v="0.1424"/>
    <n v="0.1545"/>
    <n v="0.2346"/>
    <n v="0.25619999999999998"/>
    <n v="0.21779999999999999"/>
  </r>
  <r>
    <s v="VC_Q5-H_16"/>
    <n v="2"/>
    <s v="VC216"/>
    <n v="597714"/>
    <n v="5852880.4000000004"/>
    <n v="24.5"/>
    <x v="0"/>
    <s v="S2"/>
    <x v="3"/>
    <n v="1.17"/>
    <n v="2"/>
    <n v="25.67"/>
    <n v="26.5"/>
    <n v="26.085000000000001"/>
    <n v="26"/>
    <n v="1"/>
    <n v="3.32"/>
    <n v="25.5"/>
    <n v="27.82"/>
    <n v="26.66"/>
    <x v="2"/>
    <n v="0.39"/>
    <n v="98.8"/>
    <n v="0.82"/>
    <n v="0.81"/>
    <n v="0.52"/>
    <n v="0.82"/>
    <n v="0.52"/>
    <n v="1.6182000000000001"/>
    <n v="0.18770000000000001"/>
    <n v="0.20730000000000001"/>
    <n v="0.28749999999999998"/>
    <n v="0.30370000000000003"/>
    <n v="0.32079999999999997"/>
    <n v="1.6042000000000001"/>
    <n v="0.1893"/>
    <n v="0.20880000000000001"/>
    <n v="0.30370000000000003"/>
    <n v="0.3206"/>
    <n v="0.28760000000000002"/>
  </r>
  <r>
    <s v="VC_Q5-H_16"/>
    <n v="2"/>
    <s v="VC216"/>
    <n v="597714"/>
    <n v="5852880.4000000004"/>
    <n v="24.5"/>
    <x v="0"/>
    <s v="S4"/>
    <x v="6"/>
    <n v="3.32"/>
    <n v="4"/>
    <n v="27.82"/>
    <n v="28.5"/>
    <n v="28.16"/>
    <n v="28"/>
    <n v="3.32"/>
    <n v="4"/>
    <n v="27.82"/>
    <n v="28.5"/>
    <n v="28.16"/>
    <x v="5"/>
    <n v="1"/>
    <n v="98.38"/>
    <n v="0.61"/>
    <n v="0.49"/>
    <n v="0.32"/>
    <n v="0.61"/>
    <n v="0.45"/>
    <n v="2.1646999999999998"/>
    <n v="0.18609999999999999"/>
    <n v="0.22189999999999999"/>
    <n v="0.36630000000000001"/>
    <n v="0.40289999999999998"/>
    <n v="0.44309999999999999"/>
    <n v="2.1328999999999998"/>
    <n v="0.18809999999999999"/>
    <n v="0.2238"/>
    <n v="0.4012"/>
    <n v="0.44069999999999998"/>
    <n v="0.36530000000000001"/>
  </r>
  <r>
    <s v="VC_Q5-H_16"/>
    <n v="2"/>
    <s v="VC216"/>
    <n v="597714"/>
    <n v="5852880.4000000004"/>
    <n v="24.5"/>
    <x v="0"/>
    <s v="S5A"/>
    <x v="4"/>
    <n v="4.0999999999999996"/>
    <n v="5"/>
    <n v="28.6"/>
    <n v="29.5"/>
    <n v="29.05"/>
    <n v="29"/>
    <n v="4"/>
    <n v="5.0999999999999996"/>
    <n v="28.5"/>
    <n v="29.6"/>
    <n v="29.05"/>
    <x v="3"/>
    <n v="0.1"/>
    <n v="99.4"/>
    <n v="0.5"/>
    <n v="0.38"/>
    <n v="0.28999999999999998"/>
    <n v="0.5"/>
    <n v="0.41"/>
    <n v="2.0223"/>
    <n v="0.1807"/>
    <n v="0.20960000000000001"/>
    <n v="0.33160000000000001"/>
    <n v="0.36549999999999999"/>
    <n v="0.40310000000000001"/>
    <n v="2.0028000000000001"/>
    <n v="0.1827"/>
    <n v="0.2117"/>
    <n v="0.3659"/>
    <n v="0.40329999999999999"/>
    <n v="0.33210000000000001"/>
  </r>
  <r>
    <s v="VC_Q5-H_16"/>
    <n v="2"/>
    <s v="VC216"/>
    <n v="597714"/>
    <n v="5852880.4000000004"/>
    <n v="24.5"/>
    <x v="0"/>
    <s v="S5B"/>
    <x v="5"/>
    <n v="5"/>
    <n v="5.0999999999999996"/>
    <n v="29.5"/>
    <n v="29.6"/>
    <n v="29.55"/>
    <n v="30"/>
    <n v="5"/>
    <n v="5.0999999999999996"/>
    <n v="29.5"/>
    <n v="29.6"/>
    <n v="29.55"/>
    <x v="4"/>
    <n v="0.02"/>
    <n v="98.8"/>
    <n v="1.17"/>
    <n v="1.08"/>
    <n v="0.57999999999999996"/>
    <n v="1.17"/>
    <n v="0.68"/>
    <n v="2.1848000000000001"/>
    <n v="0.1429"/>
    <n v="0.16009999999999999"/>
    <n v="0.28389999999999999"/>
    <n v="0.31219999999999998"/>
    <n v="0.34339999999999998"/>
    <n v="2.1598999999999999"/>
    <n v="0.1449"/>
    <n v="0.16220000000000001"/>
    <n v="0.313"/>
    <n v="0.34399999999999997"/>
    <n v="0.2848"/>
  </r>
  <r>
    <s v="VC_Q5-H_17"/>
    <n v="2"/>
    <s v="VC217"/>
    <n v="598906.69999999995"/>
    <n v="5851476"/>
    <n v="24.3"/>
    <x v="0"/>
    <s v="S1"/>
    <x v="0"/>
    <n v="0.1"/>
    <n v="0.55000000000000004"/>
    <n v="24.400000000000002"/>
    <n v="24.85"/>
    <n v="24.625"/>
    <n v="25"/>
    <n v="0"/>
    <n v="0.55000000000000004"/>
    <n v="24.3"/>
    <n v="24.85"/>
    <n v="24.575000000000003"/>
    <x v="0"/>
    <n v="0.03"/>
    <n v="99.07"/>
    <n v="0.91"/>
    <n v="0.63"/>
    <n v="0.47"/>
    <n v="0.91"/>
    <n v="0.74"/>
    <n v="1.8102"/>
    <n v="0.14929999999999999"/>
    <n v="0.1696"/>
    <n v="0.24099999999999999"/>
    <n v="0.2702"/>
    <n v="0.30840000000000001"/>
    <n v="1.7863"/>
    <n v="0.15179999999999999"/>
    <n v="0.1724"/>
    <n v="0.2712"/>
    <n v="0.30919999999999997"/>
    <n v="0.24179999999999999"/>
  </r>
  <r>
    <s v="VC_Q5-H_17"/>
    <n v="2"/>
    <s v="VC217"/>
    <n v="598906.69999999995"/>
    <n v="5851476"/>
    <n v="24.3"/>
    <x v="0"/>
    <s v="S1"/>
    <x v="1"/>
    <n v="0.55000000000000004"/>
    <n v="1"/>
    <n v="24.85"/>
    <n v="25.3"/>
    <n v="25.075000000000003"/>
    <n v="25"/>
    <n v="0.55000000000000004"/>
    <n v="1"/>
    <n v="24.85"/>
    <n v="25.3"/>
    <n v="25.075000000000003"/>
    <x v="0"/>
    <n v="0.05"/>
    <n v="98.87"/>
    <n v="1.08"/>
    <n v="0.9"/>
    <n v="0.48"/>
    <n v="1.08"/>
    <n v="0.66"/>
    <n v="1.8492"/>
    <n v="0.1522"/>
    <n v="0.17480000000000001"/>
    <n v="0.24890000000000001"/>
    <n v="0.28139999999999998"/>
    <n v="0.31850000000000001"/>
    <n v="1.8245"/>
    <n v="0.1547"/>
    <n v="0.17749999999999999"/>
    <n v="0.28220000000000001"/>
    <n v="0.31919999999999998"/>
    <n v="0.24959999999999999"/>
  </r>
  <r>
    <s v="VC_Q5-H_17"/>
    <n v="2"/>
    <s v="VC217"/>
    <n v="598906.69999999995"/>
    <n v="5851476"/>
    <n v="24.3"/>
    <x v="0"/>
    <s v="S2"/>
    <x v="2"/>
    <n v="1.04"/>
    <n v="2"/>
    <n v="25.34"/>
    <n v="26.3"/>
    <n v="25.82"/>
    <n v="26"/>
    <n v="1"/>
    <n v="2"/>
    <n v="25.3"/>
    <n v="26.3"/>
    <n v="25.8"/>
    <x v="1"/>
    <n v="1.07"/>
    <n v="98.05"/>
    <n v="0.88"/>
    <n v="0.72"/>
    <n v="0.42"/>
    <n v="0.88"/>
    <n v="0.57999999999999996"/>
    <n v="1.8622000000000001"/>
    <n v="0.15970000000000001"/>
    <n v="0.18260000000000001"/>
    <n v="0.26490000000000002"/>
    <n v="0.29749999999999999"/>
    <n v="0.33410000000000001"/>
    <n v="1.8283"/>
    <n v="0.16189999999999999"/>
    <n v="0.1832"/>
    <n v="0.29599999999999999"/>
    <n v="0.33179999999999998"/>
    <n v="0.2641"/>
  </r>
  <r>
    <s v="VC_Q5-H_17"/>
    <n v="2"/>
    <s v="VC217"/>
    <n v="598906.69999999995"/>
    <n v="5851476"/>
    <n v="24.3"/>
    <x v="0"/>
    <s v="S3"/>
    <x v="3"/>
    <n v="2.2000000000000002"/>
    <n v="3"/>
    <n v="26.5"/>
    <n v="27.3"/>
    <n v="26.9"/>
    <n v="27"/>
    <n v="2"/>
    <n v="3"/>
    <n v="26.3"/>
    <n v="27.3"/>
    <n v="26.8"/>
    <x v="2"/>
    <n v="0.2"/>
    <n v="98.83"/>
    <n v="0.96"/>
    <n v="0.79"/>
    <n v="0.55000000000000004"/>
    <n v="0.96"/>
    <n v="0.73"/>
    <n v="2.1009000000000002"/>
    <n v="0.15049999999999999"/>
    <n v="0.17449999999999999"/>
    <n v="0.29139999999999999"/>
    <n v="0.31609999999999999"/>
    <n v="0.34279999999999999"/>
    <n v="2.0644999999999998"/>
    <n v="0.15329999999999999"/>
    <n v="0.17749999999999999"/>
    <n v="0.3165"/>
    <n v="0.34300000000000003"/>
    <n v="0.29210000000000003"/>
  </r>
  <r>
    <s v="VC_Q5-H_17"/>
    <n v="2"/>
    <s v="VC217"/>
    <n v="598906.69999999995"/>
    <n v="5851476"/>
    <n v="24.3"/>
    <x v="0"/>
    <s v="S5A"/>
    <x v="4"/>
    <n v="4.1100000000000003"/>
    <n v="5"/>
    <n v="28.41"/>
    <n v="29.3"/>
    <n v="28.855"/>
    <n v="29"/>
    <n v="3"/>
    <n v="5"/>
    <n v="27.3"/>
    <n v="29.3"/>
    <n v="28.3"/>
    <x v="5"/>
    <n v="0.02"/>
    <n v="99.53"/>
    <n v="0.45"/>
    <n v="0.37"/>
    <n v="0.32"/>
    <n v="0.45"/>
    <n v="0.4"/>
    <n v="1.6019000000000001"/>
    <n v="0.1986"/>
    <n v="0.22270000000000001"/>
    <n v="0.29959999999999998"/>
    <n v="0.31819999999999998"/>
    <n v="0.33800000000000002"/>
    <n v="1.5904"/>
    <n v="0.20030000000000001"/>
    <n v="0.22439999999999999"/>
    <n v="0.31850000000000001"/>
    <n v="0.33829999999999999"/>
    <n v="0.2999"/>
  </r>
  <r>
    <s v="VC_Q5-H_17"/>
    <n v="2"/>
    <s v="VC217"/>
    <n v="598906.69999999995"/>
    <n v="5851476"/>
    <n v="24.3"/>
    <x v="0"/>
    <s v="S5B"/>
    <x v="5"/>
    <n v="5"/>
    <n v="5.5"/>
    <n v="29.3"/>
    <n v="29.8"/>
    <n v="29.55"/>
    <n v="30"/>
    <n v="5"/>
    <n v="5.5"/>
    <n v="29.3"/>
    <n v="29.8"/>
    <n v="29.55"/>
    <x v="4"/>
    <n v="0"/>
    <n v="99.08"/>
    <n v="0.92"/>
    <n v="0.83"/>
    <n v="0.43"/>
    <n v="0.92"/>
    <n v="0.52"/>
    <n v="1.6812"/>
    <n v="0.17660000000000001"/>
    <n v="0.19289999999999999"/>
    <n v="0.27910000000000001"/>
    <n v="0.2969"/>
    <n v="0.316"/>
    <n v="1.6500999999999999"/>
    <n v="0.1802"/>
    <n v="0.19420000000000001"/>
    <n v="0.29730000000000001"/>
    <n v="0.31630000000000003"/>
    <n v="0.27950000000000003"/>
  </r>
  <r>
    <s v="BQ050701"/>
    <n v="1"/>
    <m/>
    <n v="597569"/>
    <n v="5851562"/>
    <n v="22.5"/>
    <x v="0"/>
    <m/>
    <x v="0"/>
    <n v="0"/>
    <n v="0.06"/>
    <n v="22.5"/>
    <n v="22.56"/>
    <n v="22.53"/>
    <n v="23"/>
    <n v="0"/>
    <n v="0.06"/>
    <n v="22.5"/>
    <n v="22.56"/>
    <n v="22.53"/>
    <x v="10"/>
    <m/>
    <m/>
    <m/>
    <m/>
    <n v="0.6"/>
    <n v="0.78"/>
    <n v="0.61"/>
    <n v="1.9386000000000001"/>
    <n v="0.21049999999999999"/>
    <n v="0.25209999999999999"/>
    <n v="0.372"/>
    <n v="0.40810000000000002"/>
    <n v="0.4476"/>
    <n v="1.8996999999999999"/>
    <n v="0.21510000000000001"/>
    <n v="0.25359999999999999"/>
    <n v="0.40860000000000002"/>
    <n v="0.44779999999999998"/>
    <n v="0.37280000000000002"/>
  </r>
  <r>
    <s v="BQ050701"/>
    <n v="1"/>
    <m/>
    <n v="597569"/>
    <n v="5851562"/>
    <n v="22.5"/>
    <x v="0"/>
    <m/>
    <x v="0"/>
    <n v="0.06"/>
    <n v="0.35"/>
    <n v="22.56"/>
    <n v="22.85"/>
    <n v="22.704999999999998"/>
    <n v="23"/>
    <n v="0.06"/>
    <n v="0.35"/>
    <n v="22.56"/>
    <n v="22.85"/>
    <n v="22.704999999999998"/>
    <x v="10"/>
    <m/>
    <m/>
    <m/>
    <m/>
    <n v="0.54"/>
    <n v="0.98"/>
    <n v="0.77"/>
    <n v="2.0926999999999998"/>
    <n v="0.1658"/>
    <n v="0.20030000000000001"/>
    <n v="0.31830000000000003"/>
    <n v="0.34699999999999998"/>
    <n v="0.38669999999999999"/>
    <n v="2.0247999999999999"/>
    <n v="0.17180000000000001"/>
    <n v="0.20449999999999999"/>
    <n v="0.34789999999999999"/>
    <n v="0.38769999999999999"/>
    <n v="0.31929999999999997"/>
  </r>
  <r>
    <s v="BQ050701"/>
    <n v="1"/>
    <m/>
    <n v="597569"/>
    <n v="5851562"/>
    <n v="22.5"/>
    <x v="0"/>
    <m/>
    <x v="0"/>
    <n v="0.35"/>
    <n v="0.54"/>
    <n v="22.85"/>
    <n v="23.04"/>
    <n v="22.945"/>
    <n v="23"/>
    <n v="0.35"/>
    <n v="0.54"/>
    <n v="22.85"/>
    <n v="23.04"/>
    <n v="22.945"/>
    <x v="10"/>
    <m/>
    <m/>
    <m/>
    <m/>
    <n v="0.6"/>
    <n v="0.93"/>
    <n v="0.73"/>
    <n v="1.7117"/>
    <n v="0.16800000000000001"/>
    <n v="0.1875"/>
    <n v="0.2697"/>
    <n v="0.28760000000000002"/>
    <n v="0.30669999999999997"/>
    <n v="1.6698"/>
    <n v="0.17249999999999999"/>
    <n v="0.18890000000000001"/>
    <n v="0.28810000000000002"/>
    <n v="0.30709999999999998"/>
    <n v="0.2702"/>
  </r>
  <r>
    <s v="BQ050701"/>
    <n v="1"/>
    <m/>
    <n v="597569"/>
    <n v="5851562"/>
    <n v="22.5"/>
    <x v="0"/>
    <m/>
    <x v="3"/>
    <n v="0.54"/>
    <n v="3"/>
    <n v="23.04"/>
    <n v="25.5"/>
    <n v="24.27"/>
    <n v="24"/>
    <n v="0.54"/>
    <n v="3"/>
    <n v="23.04"/>
    <n v="25.5"/>
    <n v="24.27"/>
    <x v="8"/>
    <m/>
    <m/>
    <m/>
    <m/>
    <n v="0.52"/>
    <n v="1.28"/>
    <n v="1.01"/>
    <n v="1.7493000000000001"/>
    <n v="0.1547"/>
    <n v="0.18010000000000001"/>
    <n v="0.2442"/>
    <n v="0.2707"/>
    <n v="0.30180000000000001"/>
    <n v="1.7081"/>
    <n v="0.15909999999999999"/>
    <n v="0.18140000000000001"/>
    <n v="0.2717"/>
    <n v="0.30259999999999998"/>
    <n v="0.2452"/>
  </r>
  <r>
    <s v="BQ050701"/>
    <n v="1"/>
    <m/>
    <n v="597569"/>
    <n v="5851562"/>
    <n v="22.5"/>
    <x v="0"/>
    <m/>
    <x v="6"/>
    <n v="3"/>
    <n v="3.61"/>
    <n v="25.5"/>
    <n v="26.11"/>
    <n v="25.805"/>
    <n v="26"/>
    <n v="3"/>
    <n v="3.61"/>
    <n v="25.5"/>
    <n v="26.11"/>
    <n v="25.805"/>
    <x v="1"/>
    <m/>
    <m/>
    <m/>
    <m/>
    <n v="0.49"/>
    <n v="1.61"/>
    <n v="1.1100000000000001"/>
    <n v="1.7785"/>
    <n v="0.16120000000000001"/>
    <n v="0.18329999999999999"/>
    <n v="0.25950000000000001"/>
    <n v="0.28670000000000001"/>
    <n v="0.31680000000000003"/>
    <n v="1.7249000000000001"/>
    <n v="0.1668"/>
    <n v="0.18490000000000001"/>
    <n v="0.28770000000000001"/>
    <n v="0.31740000000000002"/>
    <n v="0.26069999999999999"/>
  </r>
  <r>
    <s v="BQ050701"/>
    <n v="1"/>
    <m/>
    <n v="597569"/>
    <n v="5851562"/>
    <n v="22.5"/>
    <x v="0"/>
    <m/>
    <x v="6"/>
    <n v="3.61"/>
    <n v="3.9"/>
    <n v="26.11"/>
    <n v="26.4"/>
    <n v="26.254999999999999"/>
    <n v="26"/>
    <n v="3.61"/>
    <n v="3.9"/>
    <n v="26.11"/>
    <n v="26.4"/>
    <n v="26.254999999999999"/>
    <x v="1"/>
    <m/>
    <m/>
    <m/>
    <m/>
    <n v="0.95"/>
    <n v="1.74"/>
    <n v="1.35"/>
    <n v="1.7035"/>
    <n v="0.14019999999999999"/>
    <n v="0.1552"/>
    <n v="0.22159999999999999"/>
    <n v="0.23880000000000001"/>
    <n v="0.26350000000000001"/>
    <n v="1.6682999999999999"/>
    <n v="0.14369999999999999"/>
    <n v="0.1588"/>
    <n v="0.2397"/>
    <n v="0.26469999999999999"/>
    <n v="0.22259999999999999"/>
  </r>
  <r>
    <s v="BQ050701"/>
    <n v="1"/>
    <m/>
    <n v="597569"/>
    <n v="5851562"/>
    <n v="22.5"/>
    <x v="0"/>
    <m/>
    <x v="6"/>
    <n v="3.9"/>
    <n v="4"/>
    <n v="26.4"/>
    <n v="26.5"/>
    <n v="26.45"/>
    <n v="26"/>
    <n v="3.9"/>
    <n v="4"/>
    <n v="26.4"/>
    <n v="26.5"/>
    <n v="26.45"/>
    <x v="1"/>
    <m/>
    <m/>
    <m/>
    <m/>
    <n v="1"/>
    <n v="1.73"/>
    <n v="1.42"/>
    <n v="1.6698"/>
    <n v="0.1298"/>
    <n v="0.1376"/>
    <n v="0.1991"/>
    <n v="0.2167"/>
    <n v="0.23580000000000001"/>
    <n v="1.6529"/>
    <n v="0.13170000000000001"/>
    <n v="0.13950000000000001"/>
    <n v="0.2177"/>
    <n v="0.23669999999999999"/>
    <n v="0.20030000000000001"/>
  </r>
  <r>
    <s v="BQ050701"/>
    <n v="1"/>
    <m/>
    <n v="597569"/>
    <n v="5851562"/>
    <n v="22.5"/>
    <x v="0"/>
    <m/>
    <x v="4"/>
    <n v="4"/>
    <n v="4.62"/>
    <n v="26.5"/>
    <n v="27.12"/>
    <n v="26.810000000000002"/>
    <n v="27"/>
    <n v="4"/>
    <n v="4.62"/>
    <n v="26.5"/>
    <n v="27.12"/>
    <n v="26.810000000000002"/>
    <x v="2"/>
    <m/>
    <m/>
    <m/>
    <m/>
    <n v="0.87"/>
    <n v="1.43"/>
    <n v="1.1399999999999999"/>
    <n v="1.5185"/>
    <n v="0.12659999999999999"/>
    <n v="0.13189999999999999"/>
    <n v="0.17510000000000001"/>
    <n v="0.1923"/>
    <n v="0.2127"/>
    <n v="1.5128999999999999"/>
    <n v="0.12770000000000001"/>
    <n v="0.13289999999999999"/>
    <n v="0.19320000000000001"/>
    <n v="0.21340000000000001"/>
    <n v="0.1759"/>
  </r>
  <r>
    <s v="BQ050701"/>
    <n v="1"/>
    <m/>
    <n v="597569"/>
    <n v="5851562"/>
    <n v="22.5"/>
    <x v="0"/>
    <m/>
    <x v="4"/>
    <n v="4.62"/>
    <n v="4.9000000000000004"/>
    <n v="27.12"/>
    <n v="27.4"/>
    <n v="27.259999999999998"/>
    <n v="27"/>
    <n v="4.62"/>
    <n v="4.9000000000000004"/>
    <n v="27.12"/>
    <n v="27.4"/>
    <n v="27.259999999999998"/>
    <x v="2"/>
    <m/>
    <m/>
    <m/>
    <m/>
    <n v="0.64"/>
    <n v="1.62"/>
    <n v="1.31"/>
    <n v="1.9521999999999999"/>
    <n v="0.1414"/>
    <n v="0.15820000000000001"/>
    <n v="0.25490000000000002"/>
    <n v="0.27600000000000002"/>
    <n v="0.2989"/>
    <n v="1.9091"/>
    <n v="0.1452"/>
    <n v="0.16220000000000001"/>
    <n v="0.2772"/>
    <n v="0.2999"/>
    <n v="0.25619999999999998"/>
  </r>
  <r>
    <s v="BQ050701"/>
    <n v="1"/>
    <m/>
    <n v="597569"/>
    <n v="5851562"/>
    <n v="22.5"/>
    <x v="0"/>
    <m/>
    <x v="4"/>
    <n v="4.9000000000000004"/>
    <n v="5"/>
    <n v="27.4"/>
    <n v="27.5"/>
    <n v="27.45"/>
    <n v="27"/>
    <n v="4.9000000000000004"/>
    <n v="5"/>
    <n v="27.4"/>
    <n v="27.5"/>
    <n v="27.45"/>
    <x v="2"/>
    <m/>
    <m/>
    <m/>
    <m/>
    <m/>
    <m/>
    <m/>
    <m/>
    <m/>
    <m/>
    <m/>
    <m/>
    <m/>
    <m/>
    <m/>
    <m/>
    <m/>
    <m/>
    <m/>
  </r>
  <r>
    <s v="BQ050701"/>
    <n v="1"/>
    <m/>
    <n v="597569"/>
    <n v="5851562"/>
    <n v="22.5"/>
    <x v="0"/>
    <m/>
    <x v="5"/>
    <n v="5"/>
    <n v="5.07"/>
    <n v="27.5"/>
    <n v="27.57"/>
    <n v="27.535"/>
    <n v="28"/>
    <n v="5"/>
    <n v="5.07"/>
    <n v="27.5"/>
    <n v="27.57"/>
    <n v="27.535"/>
    <x v="5"/>
    <m/>
    <m/>
    <m/>
    <m/>
    <m/>
    <m/>
    <m/>
    <m/>
    <m/>
    <m/>
    <m/>
    <m/>
    <m/>
    <m/>
    <m/>
    <m/>
    <m/>
    <m/>
    <m/>
  </r>
  <r>
    <s v="BQ050701"/>
    <n v="1"/>
    <m/>
    <n v="597569"/>
    <n v="5851562"/>
    <n v="22.5"/>
    <x v="0"/>
    <m/>
    <x v="5"/>
    <n v="5.07"/>
    <n v="5.72"/>
    <n v="27.57"/>
    <n v="28.22"/>
    <n v="27.895"/>
    <n v="28"/>
    <n v="5.07"/>
    <n v="5.72"/>
    <n v="27.57"/>
    <n v="28.22"/>
    <n v="27.895"/>
    <x v="5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  <r>
    <m/>
    <m/>
    <m/>
    <m/>
    <m/>
    <m/>
    <x v="0"/>
    <m/>
    <x v="7"/>
    <m/>
    <m/>
    <m/>
    <m/>
    <m/>
    <m/>
    <m/>
    <m/>
    <m/>
    <m/>
    <m/>
    <x v="11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8B65D-CCEE-C048-AFE6-9BCE63DA3CCC}" name="Draaitabel4" cacheId="104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21:B22" firstHeaderRow="0" firstDataRow="1" firstDataCol="0" rowPageCount="1" colPageCount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9">
        <item m="1" x="18"/>
        <item m="1" x="33"/>
        <item m="1" x="21"/>
        <item m="1" x="34"/>
        <item m="1" x="24"/>
        <item m="1" x="35"/>
        <item m="1" x="27"/>
        <item x="7"/>
        <item m="1" x="36"/>
        <item m="1" x="29"/>
        <item m="1" x="37"/>
        <item m="1" x="14"/>
        <item m="1" x="15"/>
        <item m="1" x="16"/>
        <item m="1" x="17"/>
        <item m="1" x="19"/>
        <item m="1" x="20"/>
        <item m="1" x="23"/>
        <item m="1" x="25"/>
        <item m="1" x="26"/>
        <item m="1" x="28"/>
        <item m="1" x="30"/>
        <item m="1" x="32"/>
        <item m="1" x="31"/>
        <item x="1"/>
        <item x="2"/>
        <item x="3"/>
        <item x="4"/>
        <item x="5"/>
        <item x="6"/>
        <item x="0"/>
        <item m="1" x="22"/>
        <item m="1" x="11"/>
        <item m="1" x="8"/>
        <item m="1" x="10"/>
        <item m="1" x="12"/>
        <item m="1" x="13"/>
        <item m="1" x="9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Gemiddelde van Van " fld="9" subtotal="average" baseField="0" baseItem="0"/>
    <dataField name="Gemiddelde van Tot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00C46-A7CC-AA48-A0B3-A22A834DE474}" name="Draaitabel3" cacheId="104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41:I54" firstHeaderRow="0" firstDataRow="1" firstDataCol="1" rowPageCount="1" colPageCount="1"/>
  <pivotFields count="40">
    <pivotField showAll="0"/>
    <pivotField showAll="0"/>
    <pivotField showAll="0"/>
    <pivotField showAll="0"/>
    <pivotField showAll="0"/>
    <pivotField showAll="0"/>
    <pivotField axis="axisPage" showAll="0">
      <items count="7">
        <item m="1" x="1"/>
        <item m="1" x="4"/>
        <item m="1" x="5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4">
        <item m="1" x="22"/>
        <item m="1" x="18"/>
        <item m="1" x="19"/>
        <item m="1" x="14"/>
        <item m="1" x="12"/>
        <item x="10"/>
        <item x="8"/>
        <item x="0"/>
        <item x="1"/>
        <item x="2"/>
        <item x="5"/>
        <item x="3"/>
        <item x="4"/>
        <item x="6"/>
        <item m="1" x="15"/>
        <item x="7"/>
        <item x="9"/>
        <item m="1" x="13"/>
        <item m="1" x="16"/>
        <item m="1" x="17"/>
        <item m="1" x="20"/>
        <item m="1" x="21"/>
        <item m="1" x="23"/>
        <item m="1" x="28"/>
        <item m="1" x="24"/>
        <item m="1" x="29"/>
        <item m="1" x="25"/>
        <item m="1" x="30"/>
        <item m="1" x="26"/>
        <item m="1" x="31"/>
        <item m="1" x="27"/>
        <item m="1" x="32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13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3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6" hier="-1"/>
  </pageFields>
  <dataFields count="8">
    <dataField name="Gemiddelde van 63calculated. met zoutcorrectie" fld="25" subtotal="average" baseField="0" baseItem="0"/>
    <dataField name="Min van 63calculated. met zoutcorrectie" fld="25" subtotal="min" baseField="0" baseItem="0"/>
    <dataField name="Max van 63calculated. met zoutcorrectie2" fld="25" subtotal="max" baseField="0" baseItem="0"/>
    <dataField name="Aantal van 63calculated. met zoutcorrectie" fld="25" subtotal="count" baseField="0" baseItem="0"/>
    <dataField name="Gemiddelde van d50" fld="31" subtotal="average" baseField="0" baseItem="0" numFmtId="2"/>
    <dataField name="Min van d50" fld="31" subtotal="min" baseField="0" baseItem="0" numFmtId="2"/>
    <dataField name="Max van d50" fld="31" subtotal="max" baseField="0" baseItem="0" numFmtId="2"/>
    <dataField name="Aantal van d50" fld="31" subtotal="count" baseField="0" baseItem="0"/>
  </dataFields>
  <formats count="19">
    <format dxfId="18">
      <pivotArea collapsedLevelsAreSubtotals="1" fieldPosition="0">
        <references count="1">
          <reference field="20" count="7">
            <x v="5"/>
            <x v="6"/>
            <x v="7"/>
            <x v="8"/>
            <x v="9"/>
            <x v="10"/>
            <x v="11"/>
          </reference>
        </references>
      </pivotArea>
    </format>
    <format dxfId="17">
      <pivotArea collapsedLevelsAreSubtotals="1" fieldPosition="0">
        <references count="2">
          <reference field="4294967294" count="3" selected="0">
            <x v="4"/>
            <x v="5"/>
            <x v="6"/>
          </reference>
          <reference field="20" count="7">
            <x v="5"/>
            <x v="6"/>
            <x v="7"/>
            <x v="8"/>
            <x v="9"/>
            <x v="10"/>
            <x v="1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7"/>
          </reference>
          <reference field="20" count="7">
            <x v="5"/>
            <x v="6"/>
            <x v="7"/>
            <x v="8"/>
            <x v="9"/>
            <x v="10"/>
            <x v="11"/>
          </reference>
        </references>
      </pivotArea>
    </format>
    <format dxfId="15">
      <pivotArea field="2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field="2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field="2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2">
      <pivotArea field="20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11">
      <pivotArea field="20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0">
      <pivotArea field="20" grandRow="1" outline="0" collapsedLevelsAreSubtotals="1" axis="axisRow" fieldPosition="0">
        <references count="1">
          <reference field="4294967294" count="1" selected="0">
            <x v="6"/>
          </reference>
        </references>
      </pivotArea>
    </format>
    <format dxfId="9">
      <pivotArea collapsedLevelsAreSubtotals="1" fieldPosition="0">
        <references count="2">
          <reference field="4294967294" count="5" selected="0">
            <x v="0"/>
            <x v="1"/>
            <x v="2"/>
            <x v="3"/>
            <x v="4"/>
          </reference>
          <reference field="20" count="0"/>
        </references>
      </pivotArea>
    </format>
    <format dxfId="8">
      <pivotArea collapsedLevelsAreSubtotals="1" fieldPosition="0">
        <references count="2">
          <reference field="4294967294" count="1" selected="0">
            <x v="3"/>
          </reference>
          <reference field="20" count="9"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7">
      <pivotArea outline="0" collapsedLevelsAreSubtotals="1" fieldPosition="0">
        <references count="1">
          <reference field="4294967294" count="3" selected="0">
            <x v="4"/>
            <x v="5"/>
            <x v="6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3"/>
          </reference>
          <reference field="20" count="2">
            <x v="4"/>
            <x v="5"/>
          </reference>
        </references>
      </pivotArea>
    </format>
    <format dxfId="5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0" count="11"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3"/>
          </reference>
          <reference field="20" count="1">
            <x v="3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3"/>
          </reference>
          <reference field="20" count="3">
            <x v="0"/>
            <x v="1"/>
            <x v="2"/>
          </reference>
        </references>
      </pivotArea>
    </format>
    <format dxfId="2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0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3"/>
          </reference>
          <reference field="20" count="7">
            <x v="15"/>
            <x v="16"/>
            <x v="17"/>
            <x v="18"/>
            <x v="19"/>
            <x v="20"/>
            <x v="21"/>
          </reference>
        </references>
      </pivotArea>
    </format>
    <format dxfId="0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0" count="7">
            <x v="15"/>
            <x v="16"/>
            <x v="17"/>
            <x v="18"/>
            <x v="19"/>
            <x v="20"/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EDD70-1FA2-DF49-ABC4-E5B590B701BC}" name="Draaitabel1" cacheId="99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J11" firstHeaderRow="0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 sortType="ascending"/>
    <pivotField axis="axisRow" dataField="1" showAll="0" sortType="ascending">
      <items count="15">
        <item x="0"/>
        <item x="1"/>
        <item x="2"/>
        <item x="3"/>
        <item x="6"/>
        <item x="4"/>
        <item x="5"/>
        <item h="1" m="1" x="10"/>
        <item h="1" m="1" x="11"/>
        <item h="1" m="1" x="12"/>
        <item h="1" m="1" x="13"/>
        <item h="1" m="1" x="8"/>
        <item h="1" m="1" x="9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Gemiddelde van 63calculated. met zoutcorrectie" fld="25" subtotal="average" baseField="0" baseItem="0" numFmtId="2"/>
    <dataField name="Min van 63calculated. met zoutcorrectie" fld="25" subtotal="min" baseField="0" baseItem="0" numFmtId="2"/>
    <dataField name="Max van 63calculated. met zoutcorrectie2" fld="25" subtotal="max" baseField="0" baseItem="0" numFmtId="2"/>
    <dataField name="Aantal van 63calculated. met zoutcorrectie" fld="25" subtotal="count" baseField="0" baseItem="0"/>
    <dataField name="Gemiddelde van d50" fld="31" subtotal="average" baseField="0" baseItem="0" numFmtId="165"/>
    <dataField name="Min van d50" fld="31" subtotal="min" baseField="0" baseItem="0" numFmtId="165"/>
    <dataField name="Max van d50" fld="31" subtotal="max" baseField="0" baseItem="0" numFmtId="165"/>
    <dataField name="Aantal van d50" fld="31" subtotal="count" baseField="0" baseItem="0"/>
    <dataField name="Aantal van nummer_diepte" fld="8" subtotal="count" baseField="0" baseItem="0"/>
  </dataFields>
  <formats count="3">
    <format dxfId="21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">
      <pivotArea outline="0" collapsedLevelsAreSubtotals="1" fieldPosition="0">
        <references count="1">
          <reference field="4294967294" count="3" selected="0">
            <x v="4"/>
            <x v="5"/>
            <x v="6"/>
          </reference>
        </references>
      </pivotArea>
    </format>
    <format dxfId="19">
      <pivotArea collapsedLevelsAreSubtotals="1" fieldPosition="0">
        <references count="2">
          <reference field="4294967294" count="3" selected="0">
            <x v="4"/>
            <x v="5"/>
            <x v="6"/>
          </reference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8"/>
  <sheetViews>
    <sheetView tabSelected="1" zoomScale="96" zoomScaleNormal="96" workbookViewId="0">
      <pane ySplit="1" topLeftCell="A2" activePane="bottomLeft" state="frozen"/>
      <selection pane="bottomLeft" sqref="A1:U1048576"/>
    </sheetView>
  </sheetViews>
  <sheetFormatPr baseColWidth="10" defaultRowHeight="16"/>
  <cols>
    <col min="1" max="1" width="22.83203125" bestFit="1" customWidth="1"/>
    <col min="5" max="5" width="10" bestFit="1" customWidth="1"/>
    <col min="8" max="8" width="16.1640625" bestFit="1" customWidth="1"/>
    <col min="9" max="9" width="15" bestFit="1" customWidth="1"/>
    <col min="10" max="10" width="10.83203125" style="18"/>
    <col min="11" max="11" width="12.1640625" style="18" bestFit="1" customWidth="1"/>
    <col min="15" max="15" width="16.33203125" bestFit="1" customWidth="1"/>
    <col min="23" max="23" width="14.1640625" customWidth="1"/>
    <col min="26" max="26" width="30.83203125" bestFit="1" customWidth="1"/>
    <col min="27" max="27" width="28.6640625" bestFit="1" customWidth="1"/>
  </cols>
  <sheetData>
    <row r="1" spans="1:44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8" t="s">
        <v>8</v>
      </c>
      <c r="K1" s="18" t="s">
        <v>9</v>
      </c>
      <c r="L1" t="s">
        <v>10</v>
      </c>
      <c r="M1" t="s">
        <v>11</v>
      </c>
      <c r="N1" t="s">
        <v>37</v>
      </c>
      <c r="O1" t="s">
        <v>38</v>
      </c>
      <c r="P1" t="s">
        <v>30</v>
      </c>
      <c r="Q1" t="s">
        <v>31</v>
      </c>
      <c r="R1" t="s">
        <v>32</v>
      </c>
      <c r="S1" t="s">
        <v>33</v>
      </c>
      <c r="T1" t="s">
        <v>35</v>
      </c>
      <c r="U1" t="s">
        <v>36</v>
      </c>
      <c r="V1" t="s">
        <v>34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39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</row>
    <row r="2" spans="1:44">
      <c r="A2" s="29" t="s">
        <v>94</v>
      </c>
      <c r="B2" s="10">
        <v>2</v>
      </c>
      <c r="C2" s="29" t="s">
        <v>77</v>
      </c>
      <c r="D2" s="30">
        <v>598718.6</v>
      </c>
      <c r="E2" s="30">
        <v>5853262.4000000004</v>
      </c>
      <c r="F2" s="31">
        <v>24.7</v>
      </c>
      <c r="H2" s="29" t="s">
        <v>111</v>
      </c>
      <c r="I2" s="19" t="s">
        <v>65</v>
      </c>
      <c r="J2" s="31">
        <v>0.18</v>
      </c>
      <c r="K2" s="31">
        <v>0.8</v>
      </c>
      <c r="L2" s="17">
        <f>F2+J2</f>
        <v>24.88</v>
      </c>
      <c r="M2" s="16">
        <f>F2+K2</f>
        <v>25.5</v>
      </c>
      <c r="N2" s="12">
        <f>(L2+M2)/2</f>
        <v>25.189999999999998</v>
      </c>
      <c r="O2" s="11">
        <f>ROUND(N2,0)</f>
        <v>25</v>
      </c>
      <c r="P2" s="13">
        <v>0</v>
      </c>
      <c r="Q2" s="13">
        <f>K2</f>
        <v>0.8</v>
      </c>
      <c r="R2" s="13">
        <f>P2+F2</f>
        <v>24.7</v>
      </c>
      <c r="S2" s="13">
        <f>F2+Q2</f>
        <v>25.5</v>
      </c>
      <c r="T2" s="13">
        <f>(R2+S2)/2</f>
        <v>25.1</v>
      </c>
      <c r="U2" s="14">
        <f>ROUND(T2,0)</f>
        <v>25</v>
      </c>
      <c r="W2" s="34">
        <v>2.04</v>
      </c>
      <c r="X2" s="31">
        <v>96.82</v>
      </c>
      <c r="Y2" s="31">
        <v>1.1399999999999999</v>
      </c>
      <c r="Z2" s="31">
        <v>0.75</v>
      </c>
      <c r="AA2" s="31">
        <v>0.55000000000000004</v>
      </c>
      <c r="AB2" s="34">
        <v>1.1399999999999999</v>
      </c>
      <c r="AC2" s="31">
        <v>0.93</v>
      </c>
      <c r="AD2" s="32">
        <v>1.9167000000000001</v>
      </c>
      <c r="AE2" s="33">
        <v>0.14949999999999999</v>
      </c>
      <c r="AF2" s="33">
        <v>0.17100000000000001</v>
      </c>
      <c r="AG2" s="33">
        <v>0.25650000000000001</v>
      </c>
      <c r="AH2" s="33">
        <v>0.28649999999999998</v>
      </c>
      <c r="AI2" s="33">
        <v>0.3201</v>
      </c>
      <c r="AJ2" s="32">
        <v>1.8664000000000001</v>
      </c>
      <c r="AK2" s="33">
        <v>0.15210000000000001</v>
      </c>
      <c r="AL2" s="33">
        <v>0.17319999999999999</v>
      </c>
      <c r="AM2" s="33">
        <v>0.2838</v>
      </c>
      <c r="AN2" s="33">
        <v>0.316</v>
      </c>
      <c r="AO2" s="33">
        <v>0.25490000000000002</v>
      </c>
    </row>
    <row r="3" spans="1:44">
      <c r="A3" s="29" t="s">
        <v>94</v>
      </c>
      <c r="B3" s="10">
        <v>2</v>
      </c>
      <c r="C3" s="29" t="s">
        <v>77</v>
      </c>
      <c r="D3" s="30">
        <v>598718.6</v>
      </c>
      <c r="E3" s="30">
        <v>5853262.4000000004</v>
      </c>
      <c r="F3" s="31">
        <v>24.7</v>
      </c>
      <c r="G3" s="16"/>
      <c r="H3" s="29" t="s">
        <v>111</v>
      </c>
      <c r="I3" s="19" t="s">
        <v>58</v>
      </c>
      <c r="J3" s="31">
        <v>0.8</v>
      </c>
      <c r="K3" s="31">
        <v>1</v>
      </c>
      <c r="L3" s="17">
        <f>F3+J3</f>
        <v>25.5</v>
      </c>
      <c r="M3" s="16">
        <f>F3+K3</f>
        <v>25.7</v>
      </c>
      <c r="N3" s="12">
        <f>(L3+M3)/2</f>
        <v>25.6</v>
      </c>
      <c r="O3" s="11">
        <f>ROUND(N3,0)</f>
        <v>26</v>
      </c>
      <c r="P3" s="13">
        <f>J3</f>
        <v>0.8</v>
      </c>
      <c r="Q3" s="13">
        <f>K3</f>
        <v>1</v>
      </c>
      <c r="R3" s="13">
        <f>P3+F3</f>
        <v>25.5</v>
      </c>
      <c r="S3" s="13">
        <f>F3+Q3</f>
        <v>25.7</v>
      </c>
      <c r="T3" s="13">
        <f>(R3+S3)/2</f>
        <v>25.6</v>
      </c>
      <c r="U3" s="14">
        <f>ROUND(T3,0)</f>
        <v>26</v>
      </c>
      <c r="W3" s="34">
        <v>0.14000000000000001</v>
      </c>
      <c r="X3" s="31">
        <v>97.67</v>
      </c>
      <c r="Y3" s="31">
        <v>2.19</v>
      </c>
      <c r="Z3" s="31">
        <v>1.72</v>
      </c>
      <c r="AA3" s="31">
        <v>1.23</v>
      </c>
      <c r="AB3" s="34">
        <v>2.19</v>
      </c>
      <c r="AC3" s="31">
        <v>1.7</v>
      </c>
      <c r="AD3" s="32">
        <v>2.2564000000000002</v>
      </c>
      <c r="AE3" s="33">
        <v>0.12640000000000001</v>
      </c>
      <c r="AF3" s="33">
        <v>0.13689999999999999</v>
      </c>
      <c r="AG3" s="33">
        <v>0.25640000000000002</v>
      </c>
      <c r="AH3" s="33">
        <v>0.2853</v>
      </c>
      <c r="AI3" s="33">
        <v>0.31730000000000003</v>
      </c>
      <c r="AJ3" s="32">
        <v>2.2162999999999999</v>
      </c>
      <c r="AK3" s="33">
        <v>0.1295</v>
      </c>
      <c r="AL3" s="33">
        <v>0.1401</v>
      </c>
      <c r="AM3" s="33">
        <v>0.28710000000000002</v>
      </c>
      <c r="AN3" s="33">
        <v>0.31869999999999998</v>
      </c>
      <c r="AO3" s="33">
        <v>0.2586</v>
      </c>
    </row>
    <row r="4" spans="1:44">
      <c r="A4" s="29" t="s">
        <v>94</v>
      </c>
      <c r="B4" s="10">
        <v>2</v>
      </c>
      <c r="C4" s="29" t="s">
        <v>77</v>
      </c>
      <c r="D4" s="30">
        <v>598718.6</v>
      </c>
      <c r="E4" s="30">
        <v>5853262.4000000004</v>
      </c>
      <c r="F4" s="31">
        <v>24.7</v>
      </c>
      <c r="H4" s="29" t="s">
        <v>112</v>
      </c>
      <c r="I4" s="19" t="s">
        <v>59</v>
      </c>
      <c r="J4" s="31">
        <v>1.05</v>
      </c>
      <c r="K4" s="31">
        <v>2</v>
      </c>
      <c r="L4" s="17">
        <f>F4+J4</f>
        <v>25.75</v>
      </c>
      <c r="M4" s="16">
        <f>F4+K4</f>
        <v>26.7</v>
      </c>
      <c r="N4" s="12">
        <f>(L4+M4)/2</f>
        <v>26.225000000000001</v>
      </c>
      <c r="O4" s="11">
        <f>ROUND(N4,0)</f>
        <v>26</v>
      </c>
      <c r="P4" s="13">
        <f>J4</f>
        <v>1.05</v>
      </c>
      <c r="Q4" s="13">
        <f>K4</f>
        <v>2</v>
      </c>
      <c r="R4" s="13">
        <f>P4+F4</f>
        <v>25.75</v>
      </c>
      <c r="S4" s="13">
        <f>F4+Q4</f>
        <v>26.7</v>
      </c>
      <c r="T4" s="13">
        <f>(R4+S4)/2</f>
        <v>26.225000000000001</v>
      </c>
      <c r="U4" s="14">
        <f>ROUND(T4,0)</f>
        <v>26</v>
      </c>
      <c r="W4" s="34">
        <v>0.04</v>
      </c>
      <c r="X4" s="31">
        <v>96.15</v>
      </c>
      <c r="Y4" s="31">
        <v>3.82</v>
      </c>
      <c r="Z4" s="31">
        <v>2.88</v>
      </c>
      <c r="AA4" s="31">
        <v>2.5099999999999998</v>
      </c>
      <c r="AB4" s="34">
        <v>3.82</v>
      </c>
      <c r="AC4" s="31">
        <v>3.45</v>
      </c>
      <c r="AD4" s="32">
        <v>1.9964</v>
      </c>
      <c r="AE4" s="33">
        <v>9.9099999999999994E-2</v>
      </c>
      <c r="AF4" s="33">
        <v>0.126</v>
      </c>
      <c r="AG4" s="33">
        <v>0.1736</v>
      </c>
      <c r="AH4" s="33">
        <v>0.19769999999999999</v>
      </c>
      <c r="AI4" s="33">
        <v>0.2311</v>
      </c>
      <c r="AJ4" s="32">
        <v>1.7130000000000001</v>
      </c>
      <c r="AK4" s="33">
        <v>0.1179</v>
      </c>
      <c r="AL4" s="33">
        <v>0.12939999999999999</v>
      </c>
      <c r="AM4" s="33">
        <v>0.20200000000000001</v>
      </c>
      <c r="AN4" s="33">
        <v>0.23480000000000001</v>
      </c>
      <c r="AO4" s="33">
        <v>0.17630000000000001</v>
      </c>
    </row>
    <row r="5" spans="1:44">
      <c r="A5" s="29" t="s">
        <v>94</v>
      </c>
      <c r="B5" s="10">
        <v>2</v>
      </c>
      <c r="C5" s="29" t="s">
        <v>77</v>
      </c>
      <c r="D5" s="30">
        <v>598718.6</v>
      </c>
      <c r="E5" s="30">
        <v>5853262.4000000004</v>
      </c>
      <c r="F5" s="31">
        <v>24.7</v>
      </c>
      <c r="H5" s="29" t="s">
        <v>113</v>
      </c>
      <c r="I5" s="19" t="s">
        <v>60</v>
      </c>
      <c r="J5" s="31">
        <v>2.0299999999999998</v>
      </c>
      <c r="K5" s="31">
        <v>3</v>
      </c>
      <c r="L5" s="17">
        <f>F5+J5</f>
        <v>26.73</v>
      </c>
      <c r="M5" s="16">
        <f>F5+K5</f>
        <v>27.7</v>
      </c>
      <c r="N5" s="12">
        <f>(L5+M5)/2</f>
        <v>27.215</v>
      </c>
      <c r="O5" s="11">
        <f>ROUND(N5,0)</f>
        <v>27</v>
      </c>
      <c r="P5" s="13">
        <v>2</v>
      </c>
      <c r="Q5" s="13">
        <f>K5</f>
        <v>3</v>
      </c>
      <c r="R5" s="13">
        <f>P5+F5</f>
        <v>26.7</v>
      </c>
      <c r="S5" s="13">
        <f>F5+Q5</f>
        <v>27.7</v>
      </c>
      <c r="T5" s="13">
        <f>(R5+S5)/2</f>
        <v>27.2</v>
      </c>
      <c r="U5" s="14">
        <f>ROUND(T5,0)</f>
        <v>27</v>
      </c>
      <c r="W5" s="34">
        <v>0.01</v>
      </c>
      <c r="X5" s="31">
        <v>97.02</v>
      </c>
      <c r="Y5" s="31">
        <v>2.97</v>
      </c>
      <c r="Z5" s="31">
        <v>2.38</v>
      </c>
      <c r="AA5" s="31">
        <v>2.09</v>
      </c>
      <c r="AB5" s="34">
        <v>2.97</v>
      </c>
      <c r="AC5" s="31">
        <v>2.68</v>
      </c>
      <c r="AD5" s="32">
        <v>2.4718</v>
      </c>
      <c r="AE5" s="33">
        <v>0.1164</v>
      </c>
      <c r="AF5" s="33">
        <v>0.1338</v>
      </c>
      <c r="AG5" s="33">
        <v>0.25840000000000002</v>
      </c>
      <c r="AH5" s="33">
        <v>0.28770000000000001</v>
      </c>
      <c r="AI5" s="33">
        <v>0.32029999999999997</v>
      </c>
      <c r="AJ5" s="32">
        <v>2.2743000000000002</v>
      </c>
      <c r="AK5" s="33">
        <v>0.128</v>
      </c>
      <c r="AL5" s="33">
        <v>0.13919999999999999</v>
      </c>
      <c r="AM5" s="33">
        <v>0.29099999999999998</v>
      </c>
      <c r="AN5" s="33">
        <v>0.3231</v>
      </c>
      <c r="AO5" s="33">
        <v>0.2621</v>
      </c>
    </row>
    <row r="6" spans="1:44">
      <c r="A6" s="29" t="s">
        <v>94</v>
      </c>
      <c r="B6" s="10">
        <v>2</v>
      </c>
      <c r="C6" s="29" t="s">
        <v>77</v>
      </c>
      <c r="D6" s="30">
        <v>598718.6</v>
      </c>
      <c r="E6" s="30">
        <v>5853262.4000000004</v>
      </c>
      <c r="F6" s="31">
        <v>24.7</v>
      </c>
      <c r="H6" s="29" t="s">
        <v>114</v>
      </c>
      <c r="I6" s="19" t="s">
        <v>61</v>
      </c>
      <c r="J6" s="31">
        <v>4.08</v>
      </c>
      <c r="K6" s="31">
        <v>5</v>
      </c>
      <c r="L6" s="17">
        <f>F6+J6</f>
        <v>28.78</v>
      </c>
      <c r="M6" s="16">
        <f>F6+K6</f>
        <v>29.7</v>
      </c>
      <c r="N6" s="12">
        <f>(L6+M6)/2</f>
        <v>29.240000000000002</v>
      </c>
      <c r="O6" s="11">
        <f>ROUND(N6,0)</f>
        <v>29</v>
      </c>
      <c r="P6" s="13">
        <f>J6</f>
        <v>4.08</v>
      </c>
      <c r="Q6" s="13">
        <f>K6</f>
        <v>5</v>
      </c>
      <c r="R6" s="13">
        <f>P6+F6</f>
        <v>28.78</v>
      </c>
      <c r="S6" s="13">
        <f>F6+Q6</f>
        <v>29.7</v>
      </c>
      <c r="T6" s="13">
        <f>(R6+S6)/2</f>
        <v>29.240000000000002</v>
      </c>
      <c r="U6" s="14">
        <f>ROUND(T6,0)</f>
        <v>29</v>
      </c>
      <c r="W6" s="34">
        <v>0</v>
      </c>
      <c r="X6" s="31">
        <v>99.16</v>
      </c>
      <c r="Y6" s="31">
        <v>0.84</v>
      </c>
      <c r="Z6" s="31">
        <v>0.64</v>
      </c>
      <c r="AA6" s="31">
        <v>0.52</v>
      </c>
      <c r="AB6" s="34">
        <v>0.84</v>
      </c>
      <c r="AC6" s="31">
        <v>0.72</v>
      </c>
      <c r="AD6" s="32">
        <v>1.9155</v>
      </c>
      <c r="AE6" s="33">
        <v>0.1489</v>
      </c>
      <c r="AF6" s="33">
        <v>0.17199999999999999</v>
      </c>
      <c r="AG6" s="33">
        <v>0.26300000000000001</v>
      </c>
      <c r="AH6" s="33">
        <v>0.28520000000000001</v>
      </c>
      <c r="AI6" s="33">
        <v>0.30940000000000001</v>
      </c>
      <c r="AJ6" s="32">
        <v>1.8843000000000001</v>
      </c>
      <c r="AK6" s="33">
        <v>0.1517</v>
      </c>
      <c r="AL6" s="33">
        <v>0.17510000000000001</v>
      </c>
      <c r="AM6" s="33">
        <v>0.28589999999999999</v>
      </c>
      <c r="AN6" s="33">
        <v>0.30990000000000001</v>
      </c>
      <c r="AO6" s="33">
        <v>0.26379999999999998</v>
      </c>
    </row>
    <row r="7" spans="1:44">
      <c r="A7" s="29" t="s">
        <v>94</v>
      </c>
      <c r="B7" s="10">
        <v>2</v>
      </c>
      <c r="C7" s="29" t="s">
        <v>77</v>
      </c>
      <c r="D7" s="30">
        <v>598718.6</v>
      </c>
      <c r="E7" s="30">
        <v>5853262.4000000004</v>
      </c>
      <c r="F7" s="31">
        <v>24.7</v>
      </c>
      <c r="H7" s="29" t="s">
        <v>115</v>
      </c>
      <c r="I7" s="19" t="s">
        <v>62</v>
      </c>
      <c r="J7" s="31">
        <v>5</v>
      </c>
      <c r="K7" s="31">
        <v>5.2</v>
      </c>
      <c r="L7" s="17">
        <f>F7+J7</f>
        <v>29.7</v>
      </c>
      <c r="M7" s="16">
        <f>F7+K7</f>
        <v>29.9</v>
      </c>
      <c r="N7" s="12">
        <f>(L7+M7)/2</f>
        <v>29.799999999999997</v>
      </c>
      <c r="O7" s="11">
        <f>ROUND(N7,0)</f>
        <v>30</v>
      </c>
      <c r="P7" s="13">
        <f>J7</f>
        <v>5</v>
      </c>
      <c r="Q7" s="13">
        <f>K7</f>
        <v>5.2</v>
      </c>
      <c r="R7" s="13">
        <f>P7+F7</f>
        <v>29.7</v>
      </c>
      <c r="S7" s="13">
        <f>F7+Q7</f>
        <v>29.9</v>
      </c>
      <c r="T7" s="13">
        <f>(R7+S7)/2</f>
        <v>29.799999999999997</v>
      </c>
      <c r="U7" s="14">
        <f>ROUND(T7,0)</f>
        <v>30</v>
      </c>
      <c r="W7" s="34">
        <v>0.03</v>
      </c>
      <c r="X7" s="31">
        <v>98.53</v>
      </c>
      <c r="Y7" s="31">
        <v>1.44</v>
      </c>
      <c r="Z7" s="31">
        <v>1.08</v>
      </c>
      <c r="AA7" s="31">
        <v>0.54</v>
      </c>
      <c r="AB7" s="34">
        <v>1.44</v>
      </c>
      <c r="AC7" s="31">
        <v>0.9</v>
      </c>
      <c r="AD7" s="32">
        <v>1.5964</v>
      </c>
      <c r="AE7" s="33">
        <v>0.1769</v>
      </c>
      <c r="AF7" s="33">
        <v>0.18820000000000001</v>
      </c>
      <c r="AG7" s="33">
        <v>0.2616</v>
      </c>
      <c r="AH7" s="33">
        <v>0.28239999999999998</v>
      </c>
      <c r="AI7" s="33">
        <v>0.3049</v>
      </c>
      <c r="AJ7" s="32">
        <v>1.5669999999999999</v>
      </c>
      <c r="AK7" s="33">
        <v>0.1807</v>
      </c>
      <c r="AL7" s="33">
        <v>0.18959999999999999</v>
      </c>
      <c r="AM7" s="33">
        <v>0.28320000000000001</v>
      </c>
      <c r="AN7" s="33">
        <v>0.30549999999999999</v>
      </c>
      <c r="AO7" s="33">
        <v>0.26240000000000002</v>
      </c>
    </row>
    <row r="8" spans="1:44">
      <c r="A8" s="29" t="s">
        <v>95</v>
      </c>
      <c r="B8" s="10">
        <v>2</v>
      </c>
      <c r="C8" s="29" t="s">
        <v>78</v>
      </c>
      <c r="D8" s="30">
        <v>598425.80000000005</v>
      </c>
      <c r="E8" s="30">
        <v>5853112.7999999998</v>
      </c>
      <c r="F8" s="31">
        <v>27.8</v>
      </c>
      <c r="H8" s="29" t="s">
        <v>111</v>
      </c>
      <c r="I8" s="27" t="s">
        <v>65</v>
      </c>
      <c r="J8" s="31">
        <v>0.1</v>
      </c>
      <c r="K8" s="31">
        <v>0.55000000000000004</v>
      </c>
      <c r="L8" s="17">
        <f>F8+J8</f>
        <v>27.900000000000002</v>
      </c>
      <c r="M8" s="16">
        <f>F8+K8</f>
        <v>28.35</v>
      </c>
      <c r="N8" s="12">
        <f>(L8+M8)/2</f>
        <v>28.125</v>
      </c>
      <c r="O8" s="11">
        <f>ROUND(N8,0)</f>
        <v>28</v>
      </c>
      <c r="P8" s="13">
        <v>0</v>
      </c>
      <c r="Q8" s="13">
        <f>K8</f>
        <v>0.55000000000000004</v>
      </c>
      <c r="R8" s="13">
        <f>P8+F8</f>
        <v>27.8</v>
      </c>
      <c r="S8" s="13">
        <f>F8+Q8</f>
        <v>28.35</v>
      </c>
      <c r="T8" s="13">
        <f>(R8+S8)/2</f>
        <v>28.075000000000003</v>
      </c>
      <c r="U8" s="14">
        <f>ROUND(T8,0)</f>
        <v>28</v>
      </c>
      <c r="W8" s="34">
        <v>0</v>
      </c>
      <c r="X8" s="31">
        <v>98.97</v>
      </c>
      <c r="Y8" s="31">
        <v>1.03</v>
      </c>
      <c r="Z8" s="31">
        <v>0.79</v>
      </c>
      <c r="AA8" s="31">
        <v>0.61</v>
      </c>
      <c r="AB8" s="34">
        <v>1.03</v>
      </c>
      <c r="AC8" s="31">
        <v>0.85</v>
      </c>
      <c r="AD8" s="32">
        <v>1.7027000000000001</v>
      </c>
      <c r="AE8" s="33">
        <v>0.13500000000000001</v>
      </c>
      <c r="AF8" s="33">
        <v>0.1449</v>
      </c>
      <c r="AG8" s="33">
        <v>0.2117</v>
      </c>
      <c r="AH8" s="33">
        <v>0.22989999999999999</v>
      </c>
      <c r="AI8" s="33">
        <v>0.24959999999999999</v>
      </c>
      <c r="AJ8" s="32">
        <v>1.6890000000000001</v>
      </c>
      <c r="AK8" s="33">
        <v>0.13650000000000001</v>
      </c>
      <c r="AL8" s="33">
        <v>0.1464</v>
      </c>
      <c r="AM8" s="33">
        <v>0.23050000000000001</v>
      </c>
      <c r="AN8" s="33">
        <v>0.25040000000000001</v>
      </c>
      <c r="AO8" s="33">
        <v>0.21249999999999999</v>
      </c>
      <c r="AP8" s="21"/>
      <c r="AR8" s="22"/>
    </row>
    <row r="9" spans="1:44">
      <c r="A9" s="29" t="s">
        <v>95</v>
      </c>
      <c r="B9" s="10">
        <v>2</v>
      </c>
      <c r="C9" s="29" t="s">
        <v>78</v>
      </c>
      <c r="D9" s="30">
        <v>598425.80000000005</v>
      </c>
      <c r="E9" s="30">
        <v>5853112.7999999998</v>
      </c>
      <c r="F9" s="31">
        <v>27.8</v>
      </c>
      <c r="G9" s="16"/>
      <c r="H9" s="29" t="s">
        <v>111</v>
      </c>
      <c r="I9" s="27" t="s">
        <v>58</v>
      </c>
      <c r="J9" s="31">
        <v>0.55000000000000004</v>
      </c>
      <c r="K9" s="31">
        <v>1</v>
      </c>
      <c r="L9" s="17">
        <f>F9+J9</f>
        <v>28.35</v>
      </c>
      <c r="M9" s="16">
        <f>F9+K9</f>
        <v>28.8</v>
      </c>
      <c r="N9" s="12">
        <f>(L9+M9)/2</f>
        <v>28.575000000000003</v>
      </c>
      <c r="O9" s="11">
        <f>ROUND(N9,0)</f>
        <v>29</v>
      </c>
      <c r="P9" s="13">
        <f>J9</f>
        <v>0.55000000000000004</v>
      </c>
      <c r="Q9" s="13">
        <f>K9</f>
        <v>1</v>
      </c>
      <c r="R9" s="13">
        <f>P9+F9</f>
        <v>28.35</v>
      </c>
      <c r="S9" s="13">
        <f>F9+Q9</f>
        <v>28.8</v>
      </c>
      <c r="T9" s="13">
        <f>(R9+S9)/2</f>
        <v>28.575000000000003</v>
      </c>
      <c r="U9" s="14">
        <f>ROUND(T9,0)</f>
        <v>29</v>
      </c>
      <c r="W9" s="34">
        <v>0.02</v>
      </c>
      <c r="X9" s="31">
        <v>98.89</v>
      </c>
      <c r="Y9" s="31">
        <v>1.0900000000000001</v>
      </c>
      <c r="Z9" s="31">
        <v>0.81</v>
      </c>
      <c r="AA9" s="31">
        <v>0.38</v>
      </c>
      <c r="AB9" s="34">
        <v>1.0900000000000001</v>
      </c>
      <c r="AC9" s="31">
        <v>0.66</v>
      </c>
      <c r="AD9" s="32">
        <v>1.7552000000000001</v>
      </c>
      <c r="AE9" s="33">
        <v>0.1439</v>
      </c>
      <c r="AF9" s="33">
        <v>0.1583</v>
      </c>
      <c r="AG9" s="33">
        <v>0.23019999999999999</v>
      </c>
      <c r="AH9" s="33">
        <v>0.2525</v>
      </c>
      <c r="AI9" s="33">
        <v>0.30869999999999997</v>
      </c>
      <c r="AJ9" s="32">
        <v>1.7442</v>
      </c>
      <c r="AK9" s="33">
        <v>0.14549999999999999</v>
      </c>
      <c r="AL9" s="33">
        <v>0.16</v>
      </c>
      <c r="AM9" s="33">
        <v>0.25380000000000003</v>
      </c>
      <c r="AN9" s="33">
        <v>0.30990000000000001</v>
      </c>
      <c r="AO9" s="33">
        <v>0.23080000000000001</v>
      </c>
      <c r="AP9" s="21"/>
      <c r="AR9" s="22"/>
    </row>
    <row r="10" spans="1:44">
      <c r="A10" s="29" t="s">
        <v>95</v>
      </c>
      <c r="B10" s="10">
        <v>2</v>
      </c>
      <c r="C10" s="29" t="s">
        <v>78</v>
      </c>
      <c r="D10" s="30">
        <v>598425.80000000005</v>
      </c>
      <c r="E10" s="30">
        <v>5853112.7999999998</v>
      </c>
      <c r="F10" s="31">
        <v>27.8</v>
      </c>
      <c r="H10" s="29" t="s">
        <v>112</v>
      </c>
      <c r="I10" s="27" t="s">
        <v>59</v>
      </c>
      <c r="J10" s="31">
        <v>1.08</v>
      </c>
      <c r="K10" s="31">
        <v>2</v>
      </c>
      <c r="L10" s="17">
        <f>F10+J10</f>
        <v>28.880000000000003</v>
      </c>
      <c r="M10" s="16">
        <f>F10+K10</f>
        <v>29.8</v>
      </c>
      <c r="N10" s="12">
        <f>(L10+M10)/2</f>
        <v>29.340000000000003</v>
      </c>
      <c r="O10" s="11">
        <f>ROUND(N10,0)</f>
        <v>29</v>
      </c>
      <c r="P10" s="13">
        <v>1</v>
      </c>
      <c r="Q10" s="13">
        <f>K10</f>
        <v>2</v>
      </c>
      <c r="R10" s="13">
        <f>P10+F10</f>
        <v>28.8</v>
      </c>
      <c r="S10" s="13">
        <f>F10+Q10</f>
        <v>29.8</v>
      </c>
      <c r="T10" s="13">
        <f>(R10+S10)/2</f>
        <v>29.3</v>
      </c>
      <c r="U10" s="14">
        <f>ROUND(T10,0)</f>
        <v>29</v>
      </c>
      <c r="W10" s="34">
        <v>0.45</v>
      </c>
      <c r="X10" s="31">
        <v>98.73</v>
      </c>
      <c r="Y10" s="31">
        <v>0.82</v>
      </c>
      <c r="Z10" s="31">
        <v>0.55000000000000004</v>
      </c>
      <c r="AA10" s="31">
        <v>0.33</v>
      </c>
      <c r="AB10" s="34">
        <v>0.82</v>
      </c>
      <c r="AC10" s="31">
        <v>0.59</v>
      </c>
      <c r="AD10" s="32">
        <v>1.9927999999999999</v>
      </c>
      <c r="AE10" s="33">
        <v>0.1525</v>
      </c>
      <c r="AF10" s="33">
        <v>0.1736</v>
      </c>
      <c r="AG10" s="33">
        <v>0.25829999999999997</v>
      </c>
      <c r="AH10" s="33">
        <v>0.3039</v>
      </c>
      <c r="AI10" s="33">
        <v>0.35720000000000002</v>
      </c>
      <c r="AJ10" s="32">
        <v>1.9664999999999999</v>
      </c>
      <c r="AK10" s="33">
        <v>0.15440000000000001</v>
      </c>
      <c r="AL10" s="33">
        <v>0.17560000000000001</v>
      </c>
      <c r="AM10" s="33">
        <v>0.30370000000000003</v>
      </c>
      <c r="AN10" s="33">
        <v>0.35649999999999998</v>
      </c>
      <c r="AO10" s="33">
        <v>0.2586</v>
      </c>
      <c r="AP10" s="21"/>
    </row>
    <row r="11" spans="1:44">
      <c r="A11" s="29" t="s">
        <v>95</v>
      </c>
      <c r="B11" s="10">
        <v>2</v>
      </c>
      <c r="C11" s="29" t="s">
        <v>78</v>
      </c>
      <c r="D11" s="30">
        <v>598425.80000000005</v>
      </c>
      <c r="E11" s="30">
        <v>5853112.7999999998</v>
      </c>
      <c r="F11" s="31">
        <v>27.8</v>
      </c>
      <c r="H11" s="29" t="s">
        <v>116</v>
      </c>
      <c r="I11" s="27" t="s">
        <v>63</v>
      </c>
      <c r="J11" s="31">
        <v>3.03</v>
      </c>
      <c r="K11" s="31">
        <v>4</v>
      </c>
      <c r="L11" s="17">
        <f>F11+J11</f>
        <v>30.830000000000002</v>
      </c>
      <c r="M11" s="16">
        <f>F11+K11</f>
        <v>31.8</v>
      </c>
      <c r="N11" s="12">
        <f>(L11+M11)/2</f>
        <v>31.315000000000001</v>
      </c>
      <c r="O11" s="11">
        <f>ROUND(N11,0)</f>
        <v>31</v>
      </c>
      <c r="P11" s="13">
        <v>2</v>
      </c>
      <c r="Q11" s="13">
        <v>4.54</v>
      </c>
      <c r="R11" s="13">
        <f>P11+F11</f>
        <v>29.8</v>
      </c>
      <c r="S11" s="13">
        <f>F11+Q11</f>
        <v>32.340000000000003</v>
      </c>
      <c r="T11" s="13">
        <f>(R11+S11)/2</f>
        <v>31.07</v>
      </c>
      <c r="U11" s="14">
        <f>ROUND(T11,0)</f>
        <v>31</v>
      </c>
      <c r="W11" s="34">
        <v>0.01</v>
      </c>
      <c r="X11" s="31">
        <v>99.45</v>
      </c>
      <c r="Y11" s="31">
        <v>0.53</v>
      </c>
      <c r="Z11" s="31">
        <v>0.4</v>
      </c>
      <c r="AA11" s="31">
        <v>0.24</v>
      </c>
      <c r="AB11" s="34">
        <v>0.53</v>
      </c>
      <c r="AC11" s="31">
        <v>0.37</v>
      </c>
      <c r="AD11" s="32">
        <v>2.0819999999999999</v>
      </c>
      <c r="AE11" s="33">
        <v>0.16850000000000001</v>
      </c>
      <c r="AF11" s="33">
        <v>0.19750000000000001</v>
      </c>
      <c r="AG11" s="33">
        <v>0.31990000000000002</v>
      </c>
      <c r="AH11" s="33">
        <v>0.3508</v>
      </c>
      <c r="AI11" s="33">
        <v>0.3866</v>
      </c>
      <c r="AJ11" s="32">
        <v>2.0587</v>
      </c>
      <c r="AK11" s="33">
        <v>0.1706</v>
      </c>
      <c r="AL11" s="33">
        <v>0.1993</v>
      </c>
      <c r="AM11" s="33">
        <v>0.3513</v>
      </c>
      <c r="AN11" s="33">
        <v>0.38700000000000001</v>
      </c>
      <c r="AO11" s="33">
        <v>0.32040000000000002</v>
      </c>
      <c r="AP11" s="21"/>
      <c r="AR11" s="22"/>
    </row>
    <row r="12" spans="1:44">
      <c r="A12" s="29" t="s">
        <v>95</v>
      </c>
      <c r="B12" s="10">
        <v>2</v>
      </c>
      <c r="C12" s="29" t="s">
        <v>78</v>
      </c>
      <c r="D12" s="30">
        <v>598425.80000000005</v>
      </c>
      <c r="E12" s="30">
        <v>5853112.7999999998</v>
      </c>
      <c r="F12" s="31">
        <v>27.8</v>
      </c>
      <c r="H12" s="29" t="s">
        <v>117</v>
      </c>
      <c r="I12" s="27" t="s">
        <v>61</v>
      </c>
      <c r="J12" s="31">
        <v>4.54</v>
      </c>
      <c r="K12" s="31">
        <v>5</v>
      </c>
      <c r="L12" s="17">
        <f>F12+J12</f>
        <v>32.340000000000003</v>
      </c>
      <c r="M12" s="16">
        <f>F12+K12</f>
        <v>32.799999999999997</v>
      </c>
      <c r="N12" s="12">
        <f>(L12+M12)/2</f>
        <v>32.57</v>
      </c>
      <c r="O12" s="11">
        <f>ROUND(N12,0)</f>
        <v>33</v>
      </c>
      <c r="P12" s="13">
        <f>J12</f>
        <v>4.54</v>
      </c>
      <c r="Q12" s="13">
        <f>K12</f>
        <v>5</v>
      </c>
      <c r="R12" s="13">
        <f>P12+F12</f>
        <v>32.340000000000003</v>
      </c>
      <c r="S12" s="13">
        <f>F12+Q12</f>
        <v>32.799999999999997</v>
      </c>
      <c r="T12" s="13">
        <f>(R12+S12)/2</f>
        <v>32.57</v>
      </c>
      <c r="U12" s="14">
        <f>ROUND(T12,0)</f>
        <v>33</v>
      </c>
      <c r="W12" s="34">
        <v>0.6</v>
      </c>
      <c r="X12" s="31">
        <v>98.59</v>
      </c>
      <c r="Y12" s="31">
        <v>0.82</v>
      </c>
      <c r="Z12" s="31">
        <v>0.73</v>
      </c>
      <c r="AA12" s="31">
        <v>0.43</v>
      </c>
      <c r="AB12" s="34">
        <v>0.82</v>
      </c>
      <c r="AC12" s="31">
        <v>0.52</v>
      </c>
      <c r="AD12" s="32">
        <v>2.1175000000000002</v>
      </c>
      <c r="AE12" s="33">
        <v>0.18920000000000001</v>
      </c>
      <c r="AF12" s="33">
        <v>0.23619999999999999</v>
      </c>
      <c r="AG12" s="33">
        <v>0.36780000000000002</v>
      </c>
      <c r="AH12" s="33">
        <v>0.40060000000000001</v>
      </c>
      <c r="AI12" s="33">
        <v>0.43630000000000002</v>
      </c>
      <c r="AJ12" s="32">
        <v>2.0771000000000002</v>
      </c>
      <c r="AK12" s="33">
        <v>0.19259999999999999</v>
      </c>
      <c r="AL12" s="33">
        <v>0.2399</v>
      </c>
      <c r="AM12" s="33">
        <v>0.40010000000000001</v>
      </c>
      <c r="AN12" s="33">
        <v>0.43530000000000002</v>
      </c>
      <c r="AO12" s="33">
        <v>0.36759999999999998</v>
      </c>
      <c r="AP12" s="21"/>
      <c r="AR12" s="22"/>
    </row>
    <row r="13" spans="1:44">
      <c r="A13" s="29" t="s">
        <v>95</v>
      </c>
      <c r="B13" s="10">
        <v>2</v>
      </c>
      <c r="C13" s="29" t="s">
        <v>78</v>
      </c>
      <c r="D13" s="30">
        <v>598425.80000000005</v>
      </c>
      <c r="E13" s="30">
        <v>5853112.7999999998</v>
      </c>
      <c r="F13" s="31">
        <v>27.8</v>
      </c>
      <c r="G13" s="24"/>
      <c r="H13" s="29" t="s">
        <v>118</v>
      </c>
      <c r="I13" s="27" t="s">
        <v>62</v>
      </c>
      <c r="J13" s="31">
        <v>5.24</v>
      </c>
      <c r="K13" s="31">
        <v>5.95</v>
      </c>
      <c r="L13" s="17">
        <f>F13+J13</f>
        <v>33.04</v>
      </c>
      <c r="M13" s="16">
        <f>F13+K13</f>
        <v>33.75</v>
      </c>
      <c r="N13" s="12">
        <f>(L13+M13)/2</f>
        <v>33.394999999999996</v>
      </c>
      <c r="O13" s="11">
        <f>ROUND(N13,0)</f>
        <v>33</v>
      </c>
      <c r="P13" s="13">
        <v>5</v>
      </c>
      <c r="Q13" s="13">
        <f>K13</f>
        <v>5.95</v>
      </c>
      <c r="R13" s="13">
        <f>P13+F13</f>
        <v>32.799999999999997</v>
      </c>
      <c r="S13" s="13">
        <f>F13+Q13</f>
        <v>33.75</v>
      </c>
      <c r="T13" s="13">
        <f>(R13+S13)/2</f>
        <v>33.274999999999999</v>
      </c>
      <c r="U13" s="14">
        <f>ROUND(T13,0)</f>
        <v>33</v>
      </c>
      <c r="W13" s="34">
        <v>0.49</v>
      </c>
      <c r="X13" s="31">
        <v>98.63</v>
      </c>
      <c r="Y13" s="31">
        <v>0.87</v>
      </c>
      <c r="Z13" s="31">
        <v>0.81</v>
      </c>
      <c r="AA13" s="31">
        <v>0.42</v>
      </c>
      <c r="AB13" s="34">
        <v>0.87</v>
      </c>
      <c r="AC13" s="31">
        <v>0.48</v>
      </c>
      <c r="AD13" s="32">
        <v>1.6825000000000001</v>
      </c>
      <c r="AE13" s="33">
        <v>0.2263</v>
      </c>
      <c r="AF13" s="33">
        <v>0.25640000000000002</v>
      </c>
      <c r="AG13" s="33">
        <v>0.34949999999999998</v>
      </c>
      <c r="AH13" s="33">
        <v>0.38069999999999998</v>
      </c>
      <c r="AI13" s="33">
        <v>0.41439999999999999</v>
      </c>
      <c r="AJ13" s="32">
        <v>1.6516999999999999</v>
      </c>
      <c r="AK13" s="33">
        <v>0.2303</v>
      </c>
      <c r="AL13" s="33">
        <v>0.2571</v>
      </c>
      <c r="AM13" s="33">
        <v>0.38040000000000002</v>
      </c>
      <c r="AN13" s="33">
        <v>0.41370000000000001</v>
      </c>
      <c r="AO13" s="33">
        <v>0.34949999999999998</v>
      </c>
      <c r="AP13" s="21"/>
      <c r="AR13" s="22"/>
    </row>
    <row r="14" spans="1:44">
      <c r="A14" s="29" t="s">
        <v>96</v>
      </c>
      <c r="B14" s="10">
        <v>2</v>
      </c>
      <c r="C14" s="29" t="s">
        <v>79</v>
      </c>
      <c r="D14" s="30">
        <v>597924.5</v>
      </c>
      <c r="E14" s="30">
        <v>5853186.5</v>
      </c>
      <c r="F14" s="31">
        <v>25.5</v>
      </c>
      <c r="H14" s="29" t="s">
        <v>111</v>
      </c>
      <c r="I14" s="27" t="s">
        <v>65</v>
      </c>
      <c r="J14" s="31">
        <v>0.22</v>
      </c>
      <c r="K14" s="31">
        <v>0.61</v>
      </c>
      <c r="L14" s="17">
        <f>F14+J14</f>
        <v>25.72</v>
      </c>
      <c r="M14" s="16">
        <f>F14+K14</f>
        <v>26.11</v>
      </c>
      <c r="N14" s="12">
        <f>(L14+M14)/2</f>
        <v>25.914999999999999</v>
      </c>
      <c r="O14" s="11">
        <f>ROUND(N14,0)</f>
        <v>26</v>
      </c>
      <c r="P14" s="13">
        <v>0</v>
      </c>
      <c r="Q14" s="13">
        <f>K14</f>
        <v>0.61</v>
      </c>
      <c r="R14" s="13">
        <f>P14+F14</f>
        <v>25.5</v>
      </c>
      <c r="S14" s="13">
        <f>F14+Q14</f>
        <v>26.11</v>
      </c>
      <c r="T14" s="13">
        <f>(R14+S14)/2</f>
        <v>25.805</v>
      </c>
      <c r="U14" s="14">
        <f>ROUND(T14,0)</f>
        <v>26</v>
      </c>
      <c r="W14" s="34">
        <v>0.08</v>
      </c>
      <c r="X14" s="31">
        <v>99.31</v>
      </c>
      <c r="Y14" s="31">
        <v>0.61</v>
      </c>
      <c r="Z14" s="31">
        <v>0.39</v>
      </c>
      <c r="AA14" s="31">
        <v>0.25</v>
      </c>
      <c r="AB14" s="34">
        <v>0.61</v>
      </c>
      <c r="AC14" s="31">
        <v>0.47</v>
      </c>
      <c r="AD14" s="32">
        <v>1.8068</v>
      </c>
      <c r="AE14" s="33">
        <v>0.1704</v>
      </c>
      <c r="AF14" s="33">
        <v>0.19089999999999999</v>
      </c>
      <c r="AG14" s="33">
        <v>0.28620000000000001</v>
      </c>
      <c r="AH14" s="33">
        <v>0.308</v>
      </c>
      <c r="AI14" s="33">
        <v>0.33139999999999997</v>
      </c>
      <c r="AJ14" s="32">
        <v>1.7795000000000001</v>
      </c>
      <c r="AK14" s="33">
        <v>0.17319999999999999</v>
      </c>
      <c r="AL14" s="33">
        <v>0.19209999999999999</v>
      </c>
      <c r="AM14" s="33">
        <v>0.30830000000000002</v>
      </c>
      <c r="AN14" s="33">
        <v>0.33160000000000001</v>
      </c>
      <c r="AO14" s="33">
        <v>0.28660000000000002</v>
      </c>
    </row>
    <row r="15" spans="1:44">
      <c r="A15" s="29" t="s">
        <v>96</v>
      </c>
      <c r="B15" s="10">
        <v>2</v>
      </c>
      <c r="C15" s="29" t="s">
        <v>79</v>
      </c>
      <c r="D15" s="30">
        <v>597924.5</v>
      </c>
      <c r="E15" s="30">
        <v>5853186.5</v>
      </c>
      <c r="F15" s="31">
        <v>25.5</v>
      </c>
      <c r="G15" s="16"/>
      <c r="H15" s="29" t="s">
        <v>111</v>
      </c>
      <c r="I15" s="27" t="s">
        <v>58</v>
      </c>
      <c r="J15" s="31">
        <v>0.61</v>
      </c>
      <c r="K15" s="31">
        <v>1</v>
      </c>
      <c r="L15" s="17">
        <f>F15+J15</f>
        <v>26.11</v>
      </c>
      <c r="M15" s="16">
        <f>F15+K15</f>
        <v>26.5</v>
      </c>
      <c r="N15" s="12">
        <f>(L15+M15)/2</f>
        <v>26.305</v>
      </c>
      <c r="O15" s="11">
        <f>ROUND(N15,0)</f>
        <v>26</v>
      </c>
      <c r="P15" s="13">
        <f>J15</f>
        <v>0.61</v>
      </c>
      <c r="Q15" s="13">
        <f>K15</f>
        <v>1</v>
      </c>
      <c r="R15" s="13">
        <f>P15+F15</f>
        <v>26.11</v>
      </c>
      <c r="S15" s="13">
        <f>F15+Q15</f>
        <v>26.5</v>
      </c>
      <c r="T15" s="13">
        <f>(R15+S15)/2</f>
        <v>26.305</v>
      </c>
      <c r="U15" s="14">
        <f>ROUND(T15,0)</f>
        <v>26</v>
      </c>
      <c r="W15" s="34">
        <v>0.32</v>
      </c>
      <c r="X15" s="31">
        <v>98.8</v>
      </c>
      <c r="Y15" s="31">
        <v>0.89</v>
      </c>
      <c r="Z15" s="31">
        <v>0.69</v>
      </c>
      <c r="AA15" s="31">
        <v>0.34</v>
      </c>
      <c r="AB15" s="34">
        <v>0.89</v>
      </c>
      <c r="AC15" s="31">
        <v>0.54</v>
      </c>
      <c r="AD15" s="32">
        <v>1.7867999999999999</v>
      </c>
      <c r="AE15" s="33">
        <v>0.17460000000000001</v>
      </c>
      <c r="AF15" s="33">
        <v>0.19439999999999999</v>
      </c>
      <c r="AG15" s="33">
        <v>0.29049999999999998</v>
      </c>
      <c r="AH15" s="33">
        <v>0.31190000000000001</v>
      </c>
      <c r="AI15" s="33">
        <v>0.33500000000000002</v>
      </c>
      <c r="AJ15" s="32">
        <v>1.7533000000000001</v>
      </c>
      <c r="AK15" s="33">
        <v>0.1779</v>
      </c>
      <c r="AL15" s="33">
        <v>0.1958</v>
      </c>
      <c r="AM15" s="33">
        <v>0.312</v>
      </c>
      <c r="AN15" s="33">
        <v>0.33489999999999998</v>
      </c>
      <c r="AO15" s="33">
        <v>0.29070000000000001</v>
      </c>
    </row>
    <row r="16" spans="1:44">
      <c r="A16" s="29" t="s">
        <v>96</v>
      </c>
      <c r="B16" s="10">
        <v>2</v>
      </c>
      <c r="C16" s="29" t="s">
        <v>79</v>
      </c>
      <c r="D16" s="30">
        <v>597924.5</v>
      </c>
      <c r="E16" s="30">
        <v>5853186.5</v>
      </c>
      <c r="F16" s="31">
        <v>25.5</v>
      </c>
      <c r="G16" s="16"/>
      <c r="H16" s="29" t="s">
        <v>112</v>
      </c>
      <c r="I16" s="27" t="s">
        <v>59</v>
      </c>
      <c r="J16" s="31">
        <v>1.56</v>
      </c>
      <c r="K16" s="31">
        <v>2</v>
      </c>
      <c r="L16" s="17">
        <f>F16+J16</f>
        <v>27.06</v>
      </c>
      <c r="M16" s="16">
        <f>F16+K16</f>
        <v>27.5</v>
      </c>
      <c r="N16" s="12">
        <f>(L16+M16)/2</f>
        <v>27.28</v>
      </c>
      <c r="O16" s="11">
        <f>ROUND(N16,0)</f>
        <v>27</v>
      </c>
      <c r="P16" s="13">
        <v>1</v>
      </c>
      <c r="Q16" s="13">
        <f>K16</f>
        <v>2</v>
      </c>
      <c r="R16" s="13">
        <f>P16+F16</f>
        <v>26.5</v>
      </c>
      <c r="S16" s="13">
        <f>F16+Q16</f>
        <v>27.5</v>
      </c>
      <c r="T16" s="13">
        <f>(R16+S16)/2</f>
        <v>27</v>
      </c>
      <c r="U16" s="14">
        <f>ROUND(T16,0)</f>
        <v>27</v>
      </c>
      <c r="W16" s="34">
        <v>0</v>
      </c>
      <c r="X16" s="31">
        <v>99.39</v>
      </c>
      <c r="Y16" s="31">
        <v>0.61</v>
      </c>
      <c r="Z16" s="31">
        <v>0.59</v>
      </c>
      <c r="AA16" s="31">
        <v>0.24</v>
      </c>
      <c r="AB16" s="34">
        <v>0.61</v>
      </c>
      <c r="AC16" s="31">
        <v>0.26</v>
      </c>
      <c r="AD16" s="32">
        <v>1.6106</v>
      </c>
      <c r="AE16" s="33">
        <v>0.20300000000000001</v>
      </c>
      <c r="AF16" s="33">
        <v>0.23069999999999999</v>
      </c>
      <c r="AG16" s="33">
        <v>0.30659999999999998</v>
      </c>
      <c r="AH16" s="33">
        <v>0.32690000000000002</v>
      </c>
      <c r="AI16" s="33">
        <v>0.34860000000000002</v>
      </c>
      <c r="AJ16" s="32">
        <v>1.6021000000000001</v>
      </c>
      <c r="AK16" s="33">
        <v>0.20419999999999999</v>
      </c>
      <c r="AL16" s="33">
        <v>0.2319</v>
      </c>
      <c r="AM16" s="33">
        <v>0.3271</v>
      </c>
      <c r="AN16" s="33">
        <v>0.34870000000000001</v>
      </c>
      <c r="AO16" s="33">
        <v>0.30690000000000001</v>
      </c>
    </row>
    <row r="17" spans="1:44">
      <c r="A17" s="29" t="s">
        <v>96</v>
      </c>
      <c r="B17" s="10">
        <v>2</v>
      </c>
      <c r="C17" s="29" t="s">
        <v>79</v>
      </c>
      <c r="D17" s="30">
        <v>597924.5</v>
      </c>
      <c r="E17" s="30">
        <v>5853186.5</v>
      </c>
      <c r="F17" s="31">
        <v>25.5</v>
      </c>
      <c r="H17" s="29" t="s">
        <v>113</v>
      </c>
      <c r="I17" s="27" t="s">
        <v>60</v>
      </c>
      <c r="J17" s="31">
        <v>2.02</v>
      </c>
      <c r="K17" s="31">
        <v>3</v>
      </c>
      <c r="L17" s="17">
        <f>F17+J17</f>
        <v>27.52</v>
      </c>
      <c r="M17" s="16">
        <f>F17+K17</f>
        <v>28.5</v>
      </c>
      <c r="N17" s="12">
        <f>(L17+M17)/2</f>
        <v>28.009999999999998</v>
      </c>
      <c r="O17" s="11">
        <f>ROUND(N17,0)</f>
        <v>28</v>
      </c>
      <c r="P17" s="13">
        <v>2</v>
      </c>
      <c r="Q17" s="13">
        <f>K17</f>
        <v>3</v>
      </c>
      <c r="R17" s="13">
        <f>P17+F17</f>
        <v>27.5</v>
      </c>
      <c r="S17" s="13">
        <f>F17+Q17</f>
        <v>28.5</v>
      </c>
      <c r="T17" s="13">
        <f>(R17+S17)/2</f>
        <v>28</v>
      </c>
      <c r="U17" s="14">
        <f>ROUND(T17,0)</f>
        <v>28</v>
      </c>
      <c r="W17" s="34">
        <v>0</v>
      </c>
      <c r="X17" s="31">
        <v>99.37</v>
      </c>
      <c r="Y17" s="31">
        <v>0.63</v>
      </c>
      <c r="Z17" s="31">
        <v>0.51</v>
      </c>
      <c r="AA17" s="31">
        <v>0.28999999999999998</v>
      </c>
      <c r="AB17" s="34">
        <v>0.63</v>
      </c>
      <c r="AC17" s="31">
        <v>0.42</v>
      </c>
      <c r="AD17" s="32">
        <v>1.7855000000000001</v>
      </c>
      <c r="AE17" s="33">
        <v>0.1726</v>
      </c>
      <c r="AF17" s="33">
        <v>0.1925</v>
      </c>
      <c r="AG17" s="33">
        <v>0.28710000000000002</v>
      </c>
      <c r="AH17" s="33">
        <v>0.30819999999999997</v>
      </c>
      <c r="AI17" s="33">
        <v>0.33090000000000003</v>
      </c>
      <c r="AJ17" s="32">
        <v>1.7599</v>
      </c>
      <c r="AK17" s="33">
        <v>0.1754</v>
      </c>
      <c r="AL17" s="33">
        <v>0.19370000000000001</v>
      </c>
      <c r="AM17" s="33">
        <v>0.30859999999999999</v>
      </c>
      <c r="AN17" s="33">
        <v>0.33119999999999999</v>
      </c>
      <c r="AO17" s="33">
        <v>0.28749999999999998</v>
      </c>
    </row>
    <row r="18" spans="1:44">
      <c r="A18" s="29" t="s">
        <v>96</v>
      </c>
      <c r="B18" s="10">
        <v>2</v>
      </c>
      <c r="C18" s="29" t="s">
        <v>79</v>
      </c>
      <c r="D18" s="30">
        <v>597924.5</v>
      </c>
      <c r="E18" s="30">
        <v>5853186.5</v>
      </c>
      <c r="F18" s="31">
        <v>25.5</v>
      </c>
      <c r="G18" s="16"/>
      <c r="H18" s="29" t="s">
        <v>116</v>
      </c>
      <c r="I18" s="27" t="s">
        <v>63</v>
      </c>
      <c r="J18" s="31">
        <v>3</v>
      </c>
      <c r="K18" s="31">
        <v>4</v>
      </c>
      <c r="L18" s="17">
        <f>F18+J18</f>
        <v>28.5</v>
      </c>
      <c r="M18" s="16">
        <f>F18+K18</f>
        <v>29.5</v>
      </c>
      <c r="N18" s="12">
        <f>(L18+M18)/2</f>
        <v>29</v>
      </c>
      <c r="O18" s="11">
        <f>ROUND(N18,0)</f>
        <v>29</v>
      </c>
      <c r="P18" s="13">
        <f>J18</f>
        <v>3</v>
      </c>
      <c r="Q18" s="13">
        <f>K18</f>
        <v>4</v>
      </c>
      <c r="R18" s="13">
        <f>P18+F18</f>
        <v>28.5</v>
      </c>
      <c r="S18" s="13">
        <f>F18+Q18</f>
        <v>29.5</v>
      </c>
      <c r="T18" s="13">
        <f>(R18+S18)/2</f>
        <v>29</v>
      </c>
      <c r="U18" s="14">
        <f>ROUND(T18,0)</f>
        <v>29</v>
      </c>
      <c r="W18" s="34">
        <v>0.21</v>
      </c>
      <c r="X18" s="31">
        <v>99.16</v>
      </c>
      <c r="Y18" s="31">
        <v>0.63</v>
      </c>
      <c r="Z18" s="31">
        <v>0.41</v>
      </c>
      <c r="AA18" s="31">
        <v>0.26</v>
      </c>
      <c r="AB18" s="34">
        <v>0.63</v>
      </c>
      <c r="AC18" s="31">
        <v>0.48</v>
      </c>
      <c r="AD18" s="32">
        <v>2.1682000000000001</v>
      </c>
      <c r="AE18" s="33">
        <v>0.16259999999999999</v>
      </c>
      <c r="AF18" s="33">
        <v>0.1895</v>
      </c>
      <c r="AG18" s="33">
        <v>0.31869999999999998</v>
      </c>
      <c r="AH18" s="33">
        <v>0.35249999999999998</v>
      </c>
      <c r="AI18" s="33">
        <v>0.39229999999999998</v>
      </c>
      <c r="AJ18" s="32">
        <v>2.1392000000000002</v>
      </c>
      <c r="AK18" s="33">
        <v>0.16489999999999999</v>
      </c>
      <c r="AL18" s="33">
        <v>0.1913</v>
      </c>
      <c r="AM18" s="33">
        <v>0.35270000000000001</v>
      </c>
      <c r="AN18" s="33">
        <v>0.39229999999999998</v>
      </c>
      <c r="AO18" s="33">
        <v>0.31909999999999999</v>
      </c>
    </row>
    <row r="19" spans="1:44">
      <c r="A19" s="29" t="s">
        <v>96</v>
      </c>
      <c r="B19" s="10">
        <v>2</v>
      </c>
      <c r="C19" s="29" t="s">
        <v>79</v>
      </c>
      <c r="D19" s="30">
        <v>597924.5</v>
      </c>
      <c r="E19" s="30">
        <v>5853186.5</v>
      </c>
      <c r="F19" s="31">
        <v>25.5</v>
      </c>
      <c r="H19" s="29" t="s">
        <v>117</v>
      </c>
      <c r="I19" s="27" t="s">
        <v>61</v>
      </c>
      <c r="J19" s="31">
        <v>4.03</v>
      </c>
      <c r="K19" s="31">
        <v>5</v>
      </c>
      <c r="L19" s="17">
        <f>F19+J19</f>
        <v>29.53</v>
      </c>
      <c r="M19" s="16">
        <f>F19+K19</f>
        <v>30.5</v>
      </c>
      <c r="N19" s="12">
        <f>(L19+M19)/2</f>
        <v>30.015000000000001</v>
      </c>
      <c r="O19" s="11">
        <f>ROUND(N19,0)</f>
        <v>30</v>
      </c>
      <c r="P19" s="13">
        <v>4</v>
      </c>
      <c r="Q19" s="13">
        <f>K19</f>
        <v>5</v>
      </c>
      <c r="R19" s="13">
        <f>P19+F19</f>
        <v>29.5</v>
      </c>
      <c r="S19" s="13">
        <f>F19+Q19</f>
        <v>30.5</v>
      </c>
      <c r="T19" s="13">
        <f>(R19+S19)/2</f>
        <v>30</v>
      </c>
      <c r="U19" s="14">
        <f>ROUND(T19,0)</f>
        <v>30</v>
      </c>
      <c r="W19" s="34">
        <v>0</v>
      </c>
      <c r="X19" s="31">
        <v>99.48</v>
      </c>
      <c r="Y19" s="31">
        <v>0.52</v>
      </c>
      <c r="Z19" s="31">
        <v>0.39</v>
      </c>
      <c r="AA19" s="31">
        <v>0.25</v>
      </c>
      <c r="AB19" s="34">
        <v>0.52</v>
      </c>
      <c r="AC19" s="31">
        <v>0.38</v>
      </c>
      <c r="AD19" s="32">
        <v>1.6497999999999999</v>
      </c>
      <c r="AE19" s="33">
        <v>0.20300000000000001</v>
      </c>
      <c r="AF19" s="33">
        <v>0.24129999999999999</v>
      </c>
      <c r="AG19" s="33">
        <v>0.31340000000000001</v>
      </c>
      <c r="AH19" s="33">
        <v>0.33500000000000002</v>
      </c>
      <c r="AI19" s="33">
        <v>0.3604</v>
      </c>
      <c r="AJ19" s="32">
        <v>1.6323000000000001</v>
      </c>
      <c r="AK19" s="33">
        <v>0.2054</v>
      </c>
      <c r="AL19" s="33">
        <v>0.24399999999999999</v>
      </c>
      <c r="AM19" s="33">
        <v>0.33529999999999999</v>
      </c>
      <c r="AN19" s="33">
        <v>0.3609</v>
      </c>
      <c r="AO19" s="33">
        <v>0.31380000000000002</v>
      </c>
    </row>
    <row r="20" spans="1:44">
      <c r="A20" s="29" t="s">
        <v>97</v>
      </c>
      <c r="B20" s="10">
        <v>2</v>
      </c>
      <c r="C20" s="29" t="s">
        <v>80</v>
      </c>
      <c r="D20" s="30">
        <v>597946.6</v>
      </c>
      <c r="E20" s="30">
        <v>5852379.4000000004</v>
      </c>
      <c r="F20" s="31">
        <v>25.3</v>
      </c>
      <c r="G20" s="16"/>
      <c r="H20" s="29" t="s">
        <v>111</v>
      </c>
      <c r="I20" s="27" t="s">
        <v>65</v>
      </c>
      <c r="J20" s="31">
        <v>0.3</v>
      </c>
      <c r="K20" s="31">
        <v>0.65</v>
      </c>
      <c r="L20" s="17">
        <f>F20+J20</f>
        <v>25.6</v>
      </c>
      <c r="M20" s="16">
        <f>F20+K20</f>
        <v>25.95</v>
      </c>
      <c r="N20" s="12">
        <f>(L20+M20)/2</f>
        <v>25.774999999999999</v>
      </c>
      <c r="O20" s="11">
        <f>ROUND(N20,0)</f>
        <v>26</v>
      </c>
      <c r="P20" s="13">
        <v>0</v>
      </c>
      <c r="Q20" s="13">
        <f>K20</f>
        <v>0.65</v>
      </c>
      <c r="R20" s="13">
        <f>P20+F20</f>
        <v>25.3</v>
      </c>
      <c r="S20" s="13">
        <f>F20+Q20</f>
        <v>25.95</v>
      </c>
      <c r="T20" s="13">
        <f>(R20+S20)/2</f>
        <v>25.625</v>
      </c>
      <c r="U20" s="14">
        <f>ROUND(T20,0)</f>
        <v>26</v>
      </c>
      <c r="W20" s="34">
        <v>0</v>
      </c>
      <c r="X20" s="31">
        <v>99.28</v>
      </c>
      <c r="Y20" s="31">
        <v>0.72</v>
      </c>
      <c r="Z20" s="31">
        <v>0.44</v>
      </c>
      <c r="AA20" s="31">
        <v>0.3</v>
      </c>
      <c r="AB20" s="34">
        <v>0.72</v>
      </c>
      <c r="AC20" s="31">
        <v>0.57999999999999996</v>
      </c>
      <c r="AD20" s="32">
        <v>1.9430000000000001</v>
      </c>
      <c r="AE20" s="33">
        <v>0.14549999999999999</v>
      </c>
      <c r="AF20" s="33">
        <v>0.16350000000000001</v>
      </c>
      <c r="AG20" s="33">
        <v>0.25919999999999999</v>
      </c>
      <c r="AH20" s="33">
        <v>0.28270000000000001</v>
      </c>
      <c r="AI20" s="33">
        <v>0.30840000000000001</v>
      </c>
      <c r="AJ20" s="32">
        <v>1.9232</v>
      </c>
      <c r="AK20" s="33">
        <v>0.14729999999999999</v>
      </c>
      <c r="AL20" s="33">
        <v>0.16539999999999999</v>
      </c>
      <c r="AM20" s="33">
        <v>0.2833</v>
      </c>
      <c r="AN20" s="33">
        <v>0.30880000000000002</v>
      </c>
      <c r="AO20" s="33">
        <v>0.25979999999999998</v>
      </c>
      <c r="AP20" s="21"/>
      <c r="AR20" s="22"/>
    </row>
    <row r="21" spans="1:44">
      <c r="A21" s="29" t="s">
        <v>97</v>
      </c>
      <c r="B21" s="10">
        <v>2</v>
      </c>
      <c r="C21" s="29" t="s">
        <v>80</v>
      </c>
      <c r="D21" s="30">
        <v>597946.6</v>
      </c>
      <c r="E21" s="30">
        <v>5852379.4000000004</v>
      </c>
      <c r="F21" s="31">
        <v>25.3</v>
      </c>
      <c r="G21" s="16"/>
      <c r="H21" s="29" t="s">
        <v>111</v>
      </c>
      <c r="I21" s="27" t="s">
        <v>58</v>
      </c>
      <c r="J21" s="31">
        <v>0.65</v>
      </c>
      <c r="K21" s="31">
        <v>1</v>
      </c>
      <c r="L21" s="17">
        <f>F21+J21</f>
        <v>25.95</v>
      </c>
      <c r="M21" s="16">
        <f>F21+K21</f>
        <v>26.3</v>
      </c>
      <c r="N21" s="12">
        <f>(L21+M21)/2</f>
        <v>26.125</v>
      </c>
      <c r="O21" s="11">
        <f>ROUND(N21,0)</f>
        <v>26</v>
      </c>
      <c r="P21" s="13">
        <f>J21</f>
        <v>0.65</v>
      </c>
      <c r="Q21" s="13">
        <f>K21</f>
        <v>1</v>
      </c>
      <c r="R21" s="13">
        <f>P21+F21</f>
        <v>25.95</v>
      </c>
      <c r="S21" s="13">
        <f>F21+Q21</f>
        <v>26.3</v>
      </c>
      <c r="T21" s="13">
        <f>(R21+S21)/2</f>
        <v>26.125</v>
      </c>
      <c r="U21" s="14">
        <f>ROUND(T21,0)</f>
        <v>26</v>
      </c>
      <c r="W21" s="34">
        <v>0.05</v>
      </c>
      <c r="X21" s="31">
        <v>98.88</v>
      </c>
      <c r="Y21" s="31">
        <v>1.07</v>
      </c>
      <c r="Z21" s="31">
        <v>0.77</v>
      </c>
      <c r="AA21" s="31">
        <v>0.36</v>
      </c>
      <c r="AB21" s="34">
        <v>1.07</v>
      </c>
      <c r="AC21" s="31">
        <v>0.65</v>
      </c>
      <c r="AD21" s="32">
        <v>1.9710000000000001</v>
      </c>
      <c r="AE21" s="33">
        <v>0.14660000000000001</v>
      </c>
      <c r="AF21" s="33">
        <v>0.1656</v>
      </c>
      <c r="AG21" s="33">
        <v>0.26540000000000002</v>
      </c>
      <c r="AH21" s="33">
        <v>0.28889999999999999</v>
      </c>
      <c r="AI21" s="33">
        <v>0.3145</v>
      </c>
      <c r="AJ21" s="32">
        <v>1.9469000000000001</v>
      </c>
      <c r="AK21" s="33">
        <v>0.1487</v>
      </c>
      <c r="AL21" s="33">
        <v>0.16789999999999999</v>
      </c>
      <c r="AM21" s="33">
        <v>0.28949999999999998</v>
      </c>
      <c r="AN21" s="33">
        <v>0.315</v>
      </c>
      <c r="AO21" s="33">
        <v>0.2661</v>
      </c>
      <c r="AP21" s="21"/>
      <c r="AR21" s="22"/>
    </row>
    <row r="22" spans="1:44">
      <c r="A22" s="29" t="s">
        <v>97</v>
      </c>
      <c r="B22" s="37">
        <v>2</v>
      </c>
      <c r="C22" s="29" t="s">
        <v>80</v>
      </c>
      <c r="D22" s="30">
        <v>597946.6</v>
      </c>
      <c r="E22" s="30">
        <v>5852379.4000000004</v>
      </c>
      <c r="F22" s="31">
        <v>25.3</v>
      </c>
      <c r="G22" s="38"/>
      <c r="H22" s="29" t="s">
        <v>112</v>
      </c>
      <c r="I22" s="27" t="s">
        <v>60</v>
      </c>
      <c r="J22" s="31">
        <v>1.07</v>
      </c>
      <c r="K22" s="31">
        <v>2</v>
      </c>
      <c r="L22" s="39">
        <f>F22+J22</f>
        <v>26.37</v>
      </c>
      <c r="M22" s="40">
        <f>F22+K22</f>
        <v>27.3</v>
      </c>
      <c r="N22" s="41">
        <f>(L22+M22)/2</f>
        <v>26.835000000000001</v>
      </c>
      <c r="O22" s="42">
        <f>ROUND(N22,0)</f>
        <v>27</v>
      </c>
      <c r="P22" s="43">
        <v>1</v>
      </c>
      <c r="Q22" s="43">
        <v>3</v>
      </c>
      <c r="R22" s="43">
        <f>P22+F22</f>
        <v>26.3</v>
      </c>
      <c r="S22" s="43">
        <f>F22+Q22</f>
        <v>28.3</v>
      </c>
      <c r="T22" s="43">
        <f>(R22+S22)/2</f>
        <v>27.3</v>
      </c>
      <c r="U22" s="44">
        <f>ROUND(T22,0)</f>
        <v>27</v>
      </c>
      <c r="V22" s="38"/>
      <c r="W22" s="34">
        <v>0.35</v>
      </c>
      <c r="X22" s="31">
        <v>98.87</v>
      </c>
      <c r="Y22" s="31">
        <v>0.79</v>
      </c>
      <c r="Z22" s="31">
        <v>0.51</v>
      </c>
      <c r="AA22" s="31">
        <v>0.33</v>
      </c>
      <c r="AB22" s="34">
        <v>0.79</v>
      </c>
      <c r="AC22" s="31">
        <v>0.61</v>
      </c>
      <c r="AD22" s="32">
        <v>1.931</v>
      </c>
      <c r="AE22" s="33">
        <v>0.14760000000000001</v>
      </c>
      <c r="AF22" s="33">
        <v>0.16689999999999999</v>
      </c>
      <c r="AG22" s="33">
        <v>0.26129999999999998</v>
      </c>
      <c r="AH22" s="33">
        <v>0.28499999999999998</v>
      </c>
      <c r="AI22" s="33">
        <v>0.31090000000000001</v>
      </c>
      <c r="AJ22" s="32">
        <v>1.9075</v>
      </c>
      <c r="AK22" s="33">
        <v>0.14940000000000001</v>
      </c>
      <c r="AL22" s="33">
        <v>0.16880000000000001</v>
      </c>
      <c r="AM22" s="33">
        <v>0.28510000000000002</v>
      </c>
      <c r="AN22" s="33">
        <v>0.31069999999999998</v>
      </c>
      <c r="AO22" s="33">
        <v>0.2616</v>
      </c>
      <c r="AP22" s="45"/>
      <c r="AQ22" s="38"/>
      <c r="AR22" s="46"/>
    </row>
    <row r="23" spans="1:44">
      <c r="A23" s="29" t="s">
        <v>97</v>
      </c>
      <c r="B23" s="37">
        <v>2</v>
      </c>
      <c r="C23" s="29" t="s">
        <v>80</v>
      </c>
      <c r="D23" s="30">
        <v>597946.6</v>
      </c>
      <c r="E23" s="30">
        <v>5852379.4000000004</v>
      </c>
      <c r="F23" s="31">
        <v>25.3</v>
      </c>
      <c r="G23" s="40"/>
      <c r="H23" s="29" t="s">
        <v>116</v>
      </c>
      <c r="I23" s="27" t="s">
        <v>63</v>
      </c>
      <c r="J23" s="31">
        <v>3.03</v>
      </c>
      <c r="K23" s="31">
        <v>3.77</v>
      </c>
      <c r="L23" s="39">
        <f>F23+J23</f>
        <v>28.330000000000002</v>
      </c>
      <c r="M23" s="40">
        <f>F23+K23</f>
        <v>29.07</v>
      </c>
      <c r="N23" s="41">
        <f>(L23+M23)/2</f>
        <v>28.700000000000003</v>
      </c>
      <c r="O23" s="42">
        <f>ROUND(N23,0)</f>
        <v>29</v>
      </c>
      <c r="P23" s="43">
        <v>3</v>
      </c>
      <c r="Q23" s="43">
        <f>K23</f>
        <v>3.77</v>
      </c>
      <c r="R23" s="43">
        <f>P23+F23</f>
        <v>28.3</v>
      </c>
      <c r="S23" s="43">
        <f>F23+Q23</f>
        <v>29.07</v>
      </c>
      <c r="T23" s="43">
        <f>(R23+S23)/2</f>
        <v>28.685000000000002</v>
      </c>
      <c r="U23" s="44">
        <f>ROUND(T23,0)</f>
        <v>29</v>
      </c>
      <c r="V23" s="38"/>
      <c r="W23" s="34">
        <v>0.01</v>
      </c>
      <c r="X23" s="31">
        <v>99.51</v>
      </c>
      <c r="Y23" s="31">
        <v>0.48</v>
      </c>
      <c r="Z23" s="31">
        <v>0.33</v>
      </c>
      <c r="AA23" s="31">
        <v>0.24</v>
      </c>
      <c r="AB23" s="34">
        <v>0.48</v>
      </c>
      <c r="AC23" s="31">
        <v>0.4</v>
      </c>
      <c r="AD23" s="32">
        <v>1.6519999999999999</v>
      </c>
      <c r="AE23" s="33">
        <v>0.18970000000000001</v>
      </c>
      <c r="AF23" s="33">
        <v>0.20899999999999999</v>
      </c>
      <c r="AG23" s="33">
        <v>0.29420000000000002</v>
      </c>
      <c r="AH23" s="33">
        <v>0.31330000000000002</v>
      </c>
      <c r="AI23" s="33">
        <v>0.33379999999999999</v>
      </c>
      <c r="AJ23" s="32">
        <v>1.6422000000000001</v>
      </c>
      <c r="AK23" s="33">
        <v>0.191</v>
      </c>
      <c r="AL23" s="33">
        <v>0.21029999999999999</v>
      </c>
      <c r="AM23" s="33">
        <v>0.31359999999999999</v>
      </c>
      <c r="AN23" s="33">
        <v>0.33400000000000002</v>
      </c>
      <c r="AO23" s="33">
        <v>0.29449999999999998</v>
      </c>
      <c r="AP23" s="45"/>
      <c r="AQ23" s="38"/>
      <c r="AR23" s="46"/>
    </row>
    <row r="24" spans="1:44">
      <c r="A24" s="29" t="s">
        <v>97</v>
      </c>
      <c r="B24" s="10">
        <v>2</v>
      </c>
      <c r="C24" s="29" t="s">
        <v>80</v>
      </c>
      <c r="D24" s="30">
        <v>597946.6</v>
      </c>
      <c r="E24" s="30">
        <v>5852379.4000000004</v>
      </c>
      <c r="F24" s="31">
        <v>25.3</v>
      </c>
      <c r="H24" s="29" t="s">
        <v>117</v>
      </c>
      <c r="I24" s="27" t="s">
        <v>61</v>
      </c>
      <c r="J24" s="31">
        <v>4.03</v>
      </c>
      <c r="K24" s="31">
        <v>4.2699999999999996</v>
      </c>
      <c r="L24" s="17">
        <f>F24+J24</f>
        <v>29.330000000000002</v>
      </c>
      <c r="M24" s="16">
        <f>F24+K24</f>
        <v>29.57</v>
      </c>
      <c r="N24" s="12">
        <f>(L24+M24)/2</f>
        <v>29.450000000000003</v>
      </c>
      <c r="O24" s="11">
        <f>ROUND(N24,0)</f>
        <v>29</v>
      </c>
      <c r="P24" s="13">
        <v>3.77</v>
      </c>
      <c r="Q24" s="13">
        <f>K24</f>
        <v>4.2699999999999996</v>
      </c>
      <c r="R24" s="13">
        <f>P24+F24</f>
        <v>29.07</v>
      </c>
      <c r="S24" s="13">
        <f>F24+Q24</f>
        <v>29.57</v>
      </c>
      <c r="T24" s="13">
        <f>(R24+S24)/2</f>
        <v>29.32</v>
      </c>
      <c r="U24" s="14">
        <f>ROUND(T24,0)</f>
        <v>29</v>
      </c>
      <c r="W24" s="34">
        <v>0.03</v>
      </c>
      <c r="X24" s="31">
        <v>99.65</v>
      </c>
      <c r="Y24" s="31">
        <v>0.33</v>
      </c>
      <c r="Z24" s="31">
        <v>0.28999999999999998</v>
      </c>
      <c r="AA24" s="31">
        <v>0.17</v>
      </c>
      <c r="AB24" s="34">
        <v>0.33</v>
      </c>
      <c r="AC24" s="31">
        <v>0.21</v>
      </c>
      <c r="AD24" s="32">
        <v>1.8582000000000001</v>
      </c>
      <c r="AE24" s="33">
        <v>0.28039999999999998</v>
      </c>
      <c r="AF24" s="33">
        <v>0.33610000000000001</v>
      </c>
      <c r="AG24" s="33">
        <v>0.4748</v>
      </c>
      <c r="AH24" s="33">
        <v>0.52100000000000002</v>
      </c>
      <c r="AI24" s="33">
        <v>0.57689999999999997</v>
      </c>
      <c r="AJ24" s="32">
        <v>1.8469</v>
      </c>
      <c r="AK24" s="33">
        <v>0.2823</v>
      </c>
      <c r="AL24" s="33">
        <v>0.33829999999999999</v>
      </c>
      <c r="AM24" s="33">
        <v>0.52139999999999997</v>
      </c>
      <c r="AN24" s="33">
        <v>0.57709999999999995</v>
      </c>
      <c r="AO24" s="33">
        <v>0.47520000000000001</v>
      </c>
    </row>
    <row r="25" spans="1:44">
      <c r="A25" s="29" t="s">
        <v>97</v>
      </c>
      <c r="B25" s="10">
        <v>2</v>
      </c>
      <c r="C25" s="29" t="s">
        <v>80</v>
      </c>
      <c r="D25" s="30">
        <v>597946.6</v>
      </c>
      <c r="E25" s="30">
        <v>5852379.4000000004</v>
      </c>
      <c r="F25" s="31">
        <v>25.3</v>
      </c>
      <c r="G25" s="16"/>
      <c r="H25" s="29" t="s">
        <v>118</v>
      </c>
      <c r="I25" s="27" t="s">
        <v>62</v>
      </c>
      <c r="J25" s="31">
        <v>5.09</v>
      </c>
      <c r="K25" s="31">
        <v>5.8</v>
      </c>
      <c r="L25" s="17">
        <f>F25+J25</f>
        <v>30.39</v>
      </c>
      <c r="M25" s="16">
        <f>F25+K25</f>
        <v>31.1</v>
      </c>
      <c r="N25" s="12">
        <f>(L25+M25)/2</f>
        <v>30.745000000000001</v>
      </c>
      <c r="O25" s="11">
        <f>ROUND(N25,0)</f>
        <v>31</v>
      </c>
      <c r="P25" s="13">
        <v>4.2699999999999996</v>
      </c>
      <c r="Q25" s="13">
        <f>K25</f>
        <v>5.8</v>
      </c>
      <c r="R25" s="13">
        <f>P25+F25</f>
        <v>29.57</v>
      </c>
      <c r="S25" s="13">
        <f>F25+Q25</f>
        <v>31.1</v>
      </c>
      <c r="T25" s="13">
        <f>(R25+S25)/2</f>
        <v>30.335000000000001</v>
      </c>
      <c r="U25" s="14">
        <f>ROUND(T25,0)</f>
        <v>30</v>
      </c>
      <c r="W25" s="34">
        <v>0.04</v>
      </c>
      <c r="X25" s="31">
        <v>99.18</v>
      </c>
      <c r="Y25" s="31">
        <v>0.77</v>
      </c>
      <c r="Z25" s="31">
        <v>0.63</v>
      </c>
      <c r="AA25" s="31">
        <v>0.37</v>
      </c>
      <c r="AB25" s="34">
        <v>0.77</v>
      </c>
      <c r="AC25" s="31">
        <v>0.51</v>
      </c>
      <c r="AD25" s="32">
        <v>1.8688</v>
      </c>
      <c r="AE25" s="33">
        <v>0.18210000000000001</v>
      </c>
      <c r="AF25" s="33">
        <v>0.2092</v>
      </c>
      <c r="AG25" s="33">
        <v>0.31419999999999998</v>
      </c>
      <c r="AH25" s="33">
        <v>0.34029999999999999</v>
      </c>
      <c r="AI25" s="33">
        <v>0.37480000000000002</v>
      </c>
      <c r="AJ25" s="32">
        <v>1.8479000000000001</v>
      </c>
      <c r="AK25" s="33">
        <v>0.18440000000000001</v>
      </c>
      <c r="AL25" s="33">
        <v>0.2117</v>
      </c>
      <c r="AM25" s="33">
        <v>0.34079999999999999</v>
      </c>
      <c r="AN25" s="33">
        <v>0.37540000000000001</v>
      </c>
      <c r="AO25" s="33">
        <v>0.31480000000000002</v>
      </c>
    </row>
    <row r="26" spans="1:44">
      <c r="A26" s="29" t="s">
        <v>98</v>
      </c>
      <c r="B26" s="10">
        <v>2</v>
      </c>
      <c r="C26" s="29" t="s">
        <v>81</v>
      </c>
      <c r="D26" s="30">
        <v>597676.69999999995</v>
      </c>
      <c r="E26" s="30">
        <v>5851816.5999999996</v>
      </c>
      <c r="F26" s="31">
        <v>23.6</v>
      </c>
      <c r="H26" s="29" t="s">
        <v>111</v>
      </c>
      <c r="I26" s="27" t="s">
        <v>65</v>
      </c>
      <c r="J26" s="31">
        <v>0.06</v>
      </c>
      <c r="K26" s="31">
        <v>0.52</v>
      </c>
      <c r="L26" s="17">
        <f>F26+J26</f>
        <v>23.66</v>
      </c>
      <c r="M26" s="16">
        <f>F26+K26</f>
        <v>24.12</v>
      </c>
      <c r="N26" s="12">
        <f>(L26+M26)/2</f>
        <v>23.89</v>
      </c>
      <c r="O26" s="11">
        <f>ROUND(N26,0)</f>
        <v>24</v>
      </c>
      <c r="P26" s="13">
        <v>0</v>
      </c>
      <c r="Q26" s="13">
        <f>K26</f>
        <v>0.52</v>
      </c>
      <c r="R26" s="13">
        <f>P26+F26</f>
        <v>23.6</v>
      </c>
      <c r="S26" s="13">
        <f>F26+Q26</f>
        <v>24.12</v>
      </c>
      <c r="T26" s="13">
        <f>(R26+S26)/2</f>
        <v>23.86</v>
      </c>
      <c r="U26" s="14">
        <f>ROUND(T26,0)</f>
        <v>24</v>
      </c>
      <c r="W26" s="34">
        <v>0.56000000000000005</v>
      </c>
      <c r="X26" s="31">
        <v>98.54</v>
      </c>
      <c r="Y26" s="31">
        <v>0.9</v>
      </c>
      <c r="Z26" s="31">
        <v>0.65</v>
      </c>
      <c r="AA26" s="31">
        <v>0.5</v>
      </c>
      <c r="AB26" s="34">
        <v>0.9</v>
      </c>
      <c r="AC26" s="31">
        <v>0.75</v>
      </c>
      <c r="AD26" s="32">
        <v>1.4789000000000001</v>
      </c>
      <c r="AE26" s="33">
        <v>0.1459</v>
      </c>
      <c r="AF26" s="33">
        <v>0.16220000000000001</v>
      </c>
      <c r="AG26" s="33">
        <v>0.20619999999999999</v>
      </c>
      <c r="AH26" s="33">
        <v>0.21579999999999999</v>
      </c>
      <c r="AI26" s="33">
        <v>0.2258</v>
      </c>
      <c r="AJ26" s="32">
        <v>1.4595</v>
      </c>
      <c r="AK26" s="33">
        <v>0.14779999999999999</v>
      </c>
      <c r="AL26" s="33">
        <v>0.1641</v>
      </c>
      <c r="AM26" s="33">
        <v>0.2157</v>
      </c>
      <c r="AN26" s="33">
        <v>0.22559999999999999</v>
      </c>
      <c r="AO26" s="33">
        <v>0.20630000000000001</v>
      </c>
    </row>
    <row r="27" spans="1:44">
      <c r="A27" s="29" t="s">
        <v>98</v>
      </c>
      <c r="B27" s="10">
        <v>2</v>
      </c>
      <c r="C27" s="29" t="s">
        <v>81</v>
      </c>
      <c r="D27" s="30">
        <v>597676.69999999995</v>
      </c>
      <c r="E27" s="30">
        <v>5851816.5999999996</v>
      </c>
      <c r="F27" s="31">
        <v>23.6</v>
      </c>
      <c r="G27" s="16"/>
      <c r="H27" s="29" t="s">
        <v>111</v>
      </c>
      <c r="I27" s="27" t="s">
        <v>58</v>
      </c>
      <c r="J27" s="31">
        <v>0.52</v>
      </c>
      <c r="K27" s="31">
        <v>1</v>
      </c>
      <c r="L27" s="17">
        <f>F27+J27</f>
        <v>24.12</v>
      </c>
      <c r="M27" s="16">
        <f>F27+K27</f>
        <v>24.6</v>
      </c>
      <c r="N27" s="12">
        <f>(L27+M27)/2</f>
        <v>24.36</v>
      </c>
      <c r="O27" s="11">
        <f>ROUND(N27,0)</f>
        <v>24</v>
      </c>
      <c r="P27" s="13">
        <f>J27</f>
        <v>0.52</v>
      </c>
      <c r="Q27" s="13">
        <f>K27</f>
        <v>1</v>
      </c>
      <c r="R27" s="13">
        <f>P27+F27</f>
        <v>24.12</v>
      </c>
      <c r="S27" s="13">
        <f>F27+Q27</f>
        <v>24.6</v>
      </c>
      <c r="T27" s="13">
        <f>(R27+S27)/2</f>
        <v>24.36</v>
      </c>
      <c r="U27" s="14">
        <f>ROUND(T27,0)</f>
        <v>24</v>
      </c>
      <c r="W27" s="34">
        <v>1.18</v>
      </c>
      <c r="X27" s="31">
        <v>96.84</v>
      </c>
      <c r="Y27" s="31">
        <v>1.98</v>
      </c>
      <c r="Z27" s="31">
        <v>1.67</v>
      </c>
      <c r="AA27" s="31">
        <v>1.17</v>
      </c>
      <c r="AB27" s="34">
        <v>1.98</v>
      </c>
      <c r="AC27" s="31">
        <v>1.48</v>
      </c>
      <c r="AD27" s="32">
        <v>1.5008999999999999</v>
      </c>
      <c r="AE27" s="33">
        <v>0.14319999999999999</v>
      </c>
      <c r="AF27" s="33">
        <v>0.1585</v>
      </c>
      <c r="AG27" s="33">
        <v>0.20530000000000001</v>
      </c>
      <c r="AH27" s="33">
        <v>0.215</v>
      </c>
      <c r="AI27" s="33">
        <v>0.22500000000000001</v>
      </c>
      <c r="AJ27" s="32">
        <v>1.4636</v>
      </c>
      <c r="AK27" s="33">
        <v>0.14680000000000001</v>
      </c>
      <c r="AL27" s="33">
        <v>0.16200000000000001</v>
      </c>
      <c r="AM27" s="33">
        <v>0.21479999999999999</v>
      </c>
      <c r="AN27" s="33">
        <v>0.22459999999999999</v>
      </c>
      <c r="AO27" s="33">
        <v>0.20549999999999999</v>
      </c>
    </row>
    <row r="28" spans="1:44">
      <c r="A28" s="29" t="s">
        <v>98</v>
      </c>
      <c r="B28" s="10">
        <v>2</v>
      </c>
      <c r="C28" s="29" t="s">
        <v>81</v>
      </c>
      <c r="D28" s="30">
        <v>597676.69999999995</v>
      </c>
      <c r="E28" s="30">
        <v>5851816.5999999996</v>
      </c>
      <c r="F28" s="31">
        <v>23.6</v>
      </c>
      <c r="G28" s="16"/>
      <c r="H28" s="29" t="s">
        <v>112</v>
      </c>
      <c r="I28" s="27" t="s">
        <v>59</v>
      </c>
      <c r="J28" s="31">
        <v>1.05</v>
      </c>
      <c r="K28" s="31">
        <v>2</v>
      </c>
      <c r="L28" s="17">
        <f>F28+J28</f>
        <v>24.650000000000002</v>
      </c>
      <c r="M28" s="16">
        <f>F28+K28</f>
        <v>25.6</v>
      </c>
      <c r="N28" s="12">
        <f>(L28+M28)/2</f>
        <v>25.125</v>
      </c>
      <c r="O28" s="11">
        <f>ROUND(N28,0)</f>
        <v>25</v>
      </c>
      <c r="P28" s="13">
        <v>1</v>
      </c>
      <c r="Q28" s="13">
        <f>K28</f>
        <v>2</v>
      </c>
      <c r="R28" s="13">
        <f>P28+F28</f>
        <v>24.6</v>
      </c>
      <c r="S28" s="13">
        <f>F28+Q28</f>
        <v>25.6</v>
      </c>
      <c r="T28" s="13">
        <f>(R28+S28)/2</f>
        <v>25.1</v>
      </c>
      <c r="U28" s="14">
        <f>ROUND(T28,0)</f>
        <v>25</v>
      </c>
      <c r="W28" s="34">
        <v>0.28000000000000003</v>
      </c>
      <c r="X28" s="31">
        <v>98.54</v>
      </c>
      <c r="Y28" s="31">
        <v>1.17</v>
      </c>
      <c r="Z28" s="31">
        <v>0.96</v>
      </c>
      <c r="AA28" s="31">
        <v>0.67</v>
      </c>
      <c r="AB28" s="34">
        <v>1.17</v>
      </c>
      <c r="AC28" s="31">
        <v>0.88</v>
      </c>
      <c r="AD28" s="32">
        <v>1.5871</v>
      </c>
      <c r="AE28" s="33">
        <v>0.14230000000000001</v>
      </c>
      <c r="AF28" s="33">
        <v>0.15559999999999999</v>
      </c>
      <c r="AG28" s="33">
        <v>0.21229999999999999</v>
      </c>
      <c r="AH28" s="33">
        <v>0.2258</v>
      </c>
      <c r="AI28" s="33">
        <v>0.24010000000000001</v>
      </c>
      <c r="AJ28" s="32">
        <v>1.5673999999999999</v>
      </c>
      <c r="AK28" s="33">
        <v>0.14419999999999999</v>
      </c>
      <c r="AL28" s="33">
        <v>0.1575</v>
      </c>
      <c r="AM28" s="33">
        <v>0.2261</v>
      </c>
      <c r="AN28" s="33">
        <v>0.2402</v>
      </c>
      <c r="AO28" s="33">
        <v>0.2127</v>
      </c>
    </row>
    <row r="29" spans="1:44">
      <c r="A29" s="29" t="s">
        <v>98</v>
      </c>
      <c r="B29" s="10">
        <v>2</v>
      </c>
      <c r="C29" s="29" t="s">
        <v>81</v>
      </c>
      <c r="D29" s="30">
        <v>597676.69999999995</v>
      </c>
      <c r="E29" s="30">
        <v>5851816.5999999996</v>
      </c>
      <c r="F29" s="31">
        <v>23.6</v>
      </c>
      <c r="H29" s="29" t="s">
        <v>113</v>
      </c>
      <c r="I29" s="27" t="s">
        <v>60</v>
      </c>
      <c r="J29" s="31">
        <v>2.16</v>
      </c>
      <c r="K29" s="31">
        <v>3</v>
      </c>
      <c r="L29" s="17">
        <f>F29+J29</f>
        <v>25.76</v>
      </c>
      <c r="M29" s="16">
        <f>F29+K29</f>
        <v>26.6</v>
      </c>
      <c r="N29" s="12">
        <f>(L29+M29)/2</f>
        <v>26.18</v>
      </c>
      <c r="O29" s="11">
        <f>ROUND(N29,0)</f>
        <v>26</v>
      </c>
      <c r="P29" s="13">
        <v>2</v>
      </c>
      <c r="Q29" s="13">
        <f>K29</f>
        <v>3</v>
      </c>
      <c r="R29" s="13">
        <f>P29+F29</f>
        <v>25.6</v>
      </c>
      <c r="S29" s="13">
        <f>F29+Q29</f>
        <v>26.6</v>
      </c>
      <c r="T29" s="13">
        <f>(R29+S29)/2</f>
        <v>26.1</v>
      </c>
      <c r="U29" s="14">
        <f>ROUND(T29,0)</f>
        <v>26</v>
      </c>
      <c r="W29" s="34">
        <v>0.04</v>
      </c>
      <c r="X29" s="31">
        <v>98.58</v>
      </c>
      <c r="Y29" s="31">
        <v>1.39</v>
      </c>
      <c r="Z29" s="31">
        <v>1.07</v>
      </c>
      <c r="AA29" s="31">
        <v>0.67</v>
      </c>
      <c r="AB29" s="34">
        <v>1.39</v>
      </c>
      <c r="AC29" s="31">
        <v>0.99</v>
      </c>
      <c r="AD29" s="32">
        <v>1.8281000000000001</v>
      </c>
      <c r="AE29" s="33">
        <v>0.1363</v>
      </c>
      <c r="AF29" s="33">
        <v>0.15010000000000001</v>
      </c>
      <c r="AG29" s="33">
        <v>0.22739999999999999</v>
      </c>
      <c r="AH29" s="33">
        <v>0.2492</v>
      </c>
      <c r="AI29" s="33">
        <v>0.28060000000000002</v>
      </c>
      <c r="AJ29" s="32">
        <v>1.8032999999999999</v>
      </c>
      <c r="AK29" s="33">
        <v>0.13869999999999999</v>
      </c>
      <c r="AL29" s="33">
        <v>0.1525</v>
      </c>
      <c r="AM29" s="33">
        <v>0.25</v>
      </c>
      <c r="AN29" s="33">
        <v>0.28149999999999997</v>
      </c>
      <c r="AO29" s="33">
        <v>0.22839999999999999</v>
      </c>
    </row>
    <row r="30" spans="1:44">
      <c r="A30" s="29" t="s">
        <v>98</v>
      </c>
      <c r="B30" s="10">
        <v>2</v>
      </c>
      <c r="C30" s="29" t="s">
        <v>81</v>
      </c>
      <c r="D30" s="30">
        <v>597676.69999999995</v>
      </c>
      <c r="E30" s="30">
        <v>5851816.5999999996</v>
      </c>
      <c r="F30" s="31">
        <v>23.6</v>
      </c>
      <c r="H30" s="29" t="s">
        <v>116</v>
      </c>
      <c r="I30" s="27" t="s">
        <v>63</v>
      </c>
      <c r="J30" s="31">
        <v>3.32</v>
      </c>
      <c r="K30" s="31">
        <v>4</v>
      </c>
      <c r="L30" s="17">
        <f>F30+J30</f>
        <v>26.92</v>
      </c>
      <c r="M30" s="16">
        <f>F30+K30</f>
        <v>27.6</v>
      </c>
      <c r="N30" s="12">
        <f>(L30+M30)/2</f>
        <v>27.26</v>
      </c>
      <c r="O30" s="11">
        <f>ROUND(N30,0)</f>
        <v>27</v>
      </c>
      <c r="P30" s="13">
        <v>3</v>
      </c>
      <c r="Q30" s="13">
        <f>K30</f>
        <v>4</v>
      </c>
      <c r="R30" s="13">
        <f>P30+F30</f>
        <v>26.6</v>
      </c>
      <c r="S30" s="13">
        <f>F30+Q30</f>
        <v>27.6</v>
      </c>
      <c r="T30" s="13">
        <f>(R30+S30)/2</f>
        <v>27.1</v>
      </c>
      <c r="U30" s="14">
        <f>ROUND(T30,0)</f>
        <v>27</v>
      </c>
      <c r="W30" s="34">
        <v>0.03</v>
      </c>
      <c r="X30" s="31">
        <v>98.54</v>
      </c>
      <c r="Y30" s="31">
        <v>1.44</v>
      </c>
      <c r="Z30" s="31">
        <v>1.23</v>
      </c>
      <c r="AA30" s="31">
        <v>0.82</v>
      </c>
      <c r="AB30" s="34">
        <v>1.44</v>
      </c>
      <c r="AC30" s="31">
        <v>1.02</v>
      </c>
      <c r="AD30" s="32">
        <v>1.8306</v>
      </c>
      <c r="AE30" s="33">
        <v>0.13600000000000001</v>
      </c>
      <c r="AF30" s="33">
        <v>0.14949999999999999</v>
      </c>
      <c r="AG30" s="33">
        <v>0.2271</v>
      </c>
      <c r="AH30" s="33">
        <v>0.249</v>
      </c>
      <c r="AI30" s="33">
        <v>0.27910000000000001</v>
      </c>
      <c r="AJ30" s="32">
        <v>1.8055000000000001</v>
      </c>
      <c r="AK30" s="33">
        <v>0.1384</v>
      </c>
      <c r="AL30" s="33">
        <v>0.152</v>
      </c>
      <c r="AM30" s="33">
        <v>0.24990000000000001</v>
      </c>
      <c r="AN30" s="33">
        <v>0.28000000000000003</v>
      </c>
      <c r="AO30" s="33">
        <v>0.2281</v>
      </c>
    </row>
    <row r="31" spans="1:44">
      <c r="A31" s="29" t="s">
        <v>98</v>
      </c>
      <c r="B31" s="10">
        <v>2</v>
      </c>
      <c r="C31" s="29" t="s">
        <v>81</v>
      </c>
      <c r="D31" s="30">
        <v>597676.69999999995</v>
      </c>
      <c r="E31" s="30">
        <v>5851816.5999999996</v>
      </c>
      <c r="F31" s="31">
        <v>23.6</v>
      </c>
      <c r="H31" s="29" t="s">
        <v>114</v>
      </c>
      <c r="I31" s="27" t="s">
        <v>61</v>
      </c>
      <c r="J31" s="31">
        <v>4.03</v>
      </c>
      <c r="K31" s="31">
        <v>5</v>
      </c>
      <c r="L31" s="17">
        <f>F31+J31</f>
        <v>27.630000000000003</v>
      </c>
      <c r="M31" s="16">
        <f>F31+K31</f>
        <v>28.6</v>
      </c>
      <c r="N31" s="12">
        <f>(L31+M31)/2</f>
        <v>28.115000000000002</v>
      </c>
      <c r="O31" s="11">
        <f>ROUND(N31,0)</f>
        <v>28</v>
      </c>
      <c r="P31" s="13">
        <v>4</v>
      </c>
      <c r="Q31" s="13">
        <v>5.18</v>
      </c>
      <c r="R31" s="13">
        <f>P31+F31</f>
        <v>27.6</v>
      </c>
      <c r="S31" s="13">
        <f>F31+Q31</f>
        <v>28.78</v>
      </c>
      <c r="T31" s="13">
        <f>(R31+S31)/2</f>
        <v>28.19</v>
      </c>
      <c r="U31" s="14">
        <f>ROUND(T31,0)</f>
        <v>28</v>
      </c>
      <c r="W31" s="34">
        <v>0</v>
      </c>
      <c r="X31" s="31">
        <v>99.04</v>
      </c>
      <c r="Y31" s="31">
        <v>0.96</v>
      </c>
      <c r="Z31" s="31">
        <v>0.8</v>
      </c>
      <c r="AA31" s="31">
        <v>0.62</v>
      </c>
      <c r="AB31" s="34">
        <v>0.96</v>
      </c>
      <c r="AC31" s="31">
        <v>0.79</v>
      </c>
      <c r="AD31" s="32">
        <v>1.6887000000000001</v>
      </c>
      <c r="AE31" s="33">
        <v>0.1431</v>
      </c>
      <c r="AF31" s="33">
        <v>0.15989999999999999</v>
      </c>
      <c r="AG31" s="33">
        <v>0.22439999999999999</v>
      </c>
      <c r="AH31" s="33">
        <v>0.2417</v>
      </c>
      <c r="AI31" s="33">
        <v>0.26640000000000003</v>
      </c>
      <c r="AJ31" s="32">
        <v>1.6664000000000001</v>
      </c>
      <c r="AK31" s="33">
        <v>0.1454</v>
      </c>
      <c r="AL31" s="33">
        <v>0.16220000000000001</v>
      </c>
      <c r="AM31" s="33">
        <v>0.2422</v>
      </c>
      <c r="AN31" s="33">
        <v>0.26719999999999999</v>
      </c>
      <c r="AO31" s="33">
        <v>0.22500000000000001</v>
      </c>
    </row>
    <row r="32" spans="1:44">
      <c r="A32" s="29" t="s">
        <v>99</v>
      </c>
      <c r="B32" s="10">
        <v>2</v>
      </c>
      <c r="C32" s="29" t="s">
        <v>82</v>
      </c>
      <c r="D32" s="30">
        <v>597966.80000000005</v>
      </c>
      <c r="E32" s="30">
        <v>5851811.2000000002</v>
      </c>
      <c r="F32" s="31">
        <v>24.8</v>
      </c>
      <c r="H32" s="29" t="s">
        <v>111</v>
      </c>
      <c r="I32" s="27" t="s">
        <v>58</v>
      </c>
      <c r="J32" s="31">
        <v>0.55000000000000004</v>
      </c>
      <c r="K32" s="31">
        <v>1</v>
      </c>
      <c r="L32" s="17">
        <f>F32+J32</f>
        <v>25.35</v>
      </c>
      <c r="M32" s="16">
        <f>F32+K32</f>
        <v>25.8</v>
      </c>
      <c r="N32" s="12">
        <f>(L32+M32)/2</f>
        <v>25.575000000000003</v>
      </c>
      <c r="O32" s="11">
        <f>ROUND(N32,0)</f>
        <v>26</v>
      </c>
      <c r="P32" s="13">
        <v>0</v>
      </c>
      <c r="Q32" s="13">
        <f>K32</f>
        <v>1</v>
      </c>
      <c r="R32" s="13">
        <f>P32+F32</f>
        <v>24.8</v>
      </c>
      <c r="S32" s="13">
        <f>F32+Q32</f>
        <v>25.8</v>
      </c>
      <c r="T32" s="13">
        <f>(R32+S32)/2</f>
        <v>25.3</v>
      </c>
      <c r="U32" s="14">
        <f>ROUND(T32,0)</f>
        <v>25</v>
      </c>
      <c r="W32" s="34">
        <v>0.03</v>
      </c>
      <c r="X32" s="31">
        <v>98.56</v>
      </c>
      <c r="Y32" s="31">
        <v>1.41</v>
      </c>
      <c r="Z32" s="31">
        <v>1.17</v>
      </c>
      <c r="AA32" s="31">
        <v>0.55000000000000004</v>
      </c>
      <c r="AB32" s="34">
        <v>1.41</v>
      </c>
      <c r="AC32" s="31">
        <v>0.79</v>
      </c>
      <c r="AD32" s="32">
        <v>1.6371</v>
      </c>
      <c r="AE32" s="33">
        <v>0.1356</v>
      </c>
      <c r="AF32" s="33">
        <v>0.1452</v>
      </c>
      <c r="AG32" s="33">
        <v>0.20669999999999999</v>
      </c>
      <c r="AH32" s="33">
        <v>0.222</v>
      </c>
      <c r="AI32" s="33">
        <v>0.2384</v>
      </c>
      <c r="AJ32" s="32">
        <v>1.6247</v>
      </c>
      <c r="AK32" s="33">
        <v>0.13689999999999999</v>
      </c>
      <c r="AL32" s="33">
        <v>0.14660000000000001</v>
      </c>
      <c r="AM32" s="33">
        <v>0.2225</v>
      </c>
      <c r="AN32" s="33">
        <v>0.23880000000000001</v>
      </c>
      <c r="AO32" s="33">
        <v>0.20730000000000001</v>
      </c>
    </row>
    <row r="33" spans="1:44">
      <c r="A33" s="29" t="s">
        <v>99</v>
      </c>
      <c r="B33" s="10">
        <v>2</v>
      </c>
      <c r="C33" s="29" t="s">
        <v>82</v>
      </c>
      <c r="D33" s="30">
        <v>597966.80000000005</v>
      </c>
      <c r="E33" s="30">
        <v>5851811.2000000002</v>
      </c>
      <c r="F33" s="31">
        <v>24.8</v>
      </c>
      <c r="H33" s="29" t="s">
        <v>112</v>
      </c>
      <c r="I33" s="27" t="s">
        <v>59</v>
      </c>
      <c r="J33" s="31">
        <v>1.1399999999999999</v>
      </c>
      <c r="K33" s="31">
        <v>2</v>
      </c>
      <c r="L33" s="17">
        <f>F33+J33</f>
        <v>25.94</v>
      </c>
      <c r="M33" s="16">
        <f>F33+K33</f>
        <v>26.8</v>
      </c>
      <c r="N33" s="12">
        <f>(L33+M33)/2</f>
        <v>26.37</v>
      </c>
      <c r="O33" s="11">
        <f>ROUND(N33,0)</f>
        <v>26</v>
      </c>
      <c r="P33" s="13">
        <v>1</v>
      </c>
      <c r="Q33" s="13">
        <f>K33</f>
        <v>2</v>
      </c>
      <c r="R33" s="13">
        <f>P33+F33</f>
        <v>25.8</v>
      </c>
      <c r="S33" s="13">
        <f>F33+Q33</f>
        <v>26.8</v>
      </c>
      <c r="T33" s="13">
        <f>(R33+S33)/2</f>
        <v>26.3</v>
      </c>
      <c r="U33" s="14">
        <f>ROUND(T33,0)</f>
        <v>26</v>
      </c>
      <c r="W33" s="34">
        <v>0.03</v>
      </c>
      <c r="X33" s="31">
        <v>98.9</v>
      </c>
      <c r="Y33" s="31">
        <v>1.07</v>
      </c>
      <c r="Z33" s="31">
        <v>0.75</v>
      </c>
      <c r="AA33" s="31">
        <v>0.46</v>
      </c>
      <c r="AB33" s="34">
        <v>1.07</v>
      </c>
      <c r="AC33" s="31">
        <v>0.78</v>
      </c>
      <c r="AD33" s="32">
        <v>1.6535</v>
      </c>
      <c r="AE33" s="33">
        <v>0.1366</v>
      </c>
      <c r="AF33" s="33">
        <v>0.14699999999999999</v>
      </c>
      <c r="AG33" s="33">
        <v>0.21</v>
      </c>
      <c r="AH33" s="33">
        <v>0.22589999999999999</v>
      </c>
      <c r="AI33" s="33">
        <v>0.24299999999999999</v>
      </c>
      <c r="AJ33" s="32">
        <v>1.6402000000000001</v>
      </c>
      <c r="AK33" s="33">
        <v>0.13800000000000001</v>
      </c>
      <c r="AL33" s="33">
        <v>0.1484</v>
      </c>
      <c r="AM33" s="33">
        <v>0.22639999999999999</v>
      </c>
      <c r="AN33" s="33">
        <v>0.24340000000000001</v>
      </c>
      <c r="AO33" s="33">
        <v>0.21060000000000001</v>
      </c>
    </row>
    <row r="34" spans="1:44">
      <c r="A34" s="29" t="s">
        <v>99</v>
      </c>
      <c r="B34" s="10">
        <v>2</v>
      </c>
      <c r="C34" s="29" t="s">
        <v>82</v>
      </c>
      <c r="D34" s="30">
        <v>597966.80000000005</v>
      </c>
      <c r="E34" s="30">
        <v>5851811.2000000002</v>
      </c>
      <c r="F34" s="31">
        <v>24.8</v>
      </c>
      <c r="H34" s="29" t="s">
        <v>113</v>
      </c>
      <c r="I34" s="27" t="s">
        <v>60</v>
      </c>
      <c r="J34" s="31">
        <v>2.0299999999999998</v>
      </c>
      <c r="K34" s="31">
        <v>3</v>
      </c>
      <c r="L34" s="17">
        <f>F34+J34</f>
        <v>26.830000000000002</v>
      </c>
      <c r="M34" s="16">
        <f>F34+K34</f>
        <v>27.8</v>
      </c>
      <c r="N34" s="12">
        <f>(L34+M34)/2</f>
        <v>27.315000000000001</v>
      </c>
      <c r="O34" s="11">
        <f>ROUND(N34,0)</f>
        <v>27</v>
      </c>
      <c r="P34" s="13">
        <v>2</v>
      </c>
      <c r="Q34" s="13">
        <f>K34</f>
        <v>3</v>
      </c>
      <c r="R34" s="13">
        <f>P34+F34</f>
        <v>26.8</v>
      </c>
      <c r="S34" s="13">
        <f>F34+Q34</f>
        <v>27.8</v>
      </c>
      <c r="T34" s="13">
        <f>(R34+S34)/2</f>
        <v>27.3</v>
      </c>
      <c r="U34" s="14">
        <f>ROUND(T34,0)</f>
        <v>27</v>
      </c>
      <c r="W34" s="34">
        <v>0.35</v>
      </c>
      <c r="X34" s="31">
        <v>98.72</v>
      </c>
      <c r="Y34" s="31">
        <v>0.94</v>
      </c>
      <c r="Z34" s="31">
        <v>0.69</v>
      </c>
      <c r="AA34" s="31">
        <v>0.44</v>
      </c>
      <c r="AB34" s="34">
        <v>0.94</v>
      </c>
      <c r="AC34" s="31">
        <v>0.68</v>
      </c>
      <c r="AD34" s="32">
        <v>1.6897</v>
      </c>
      <c r="AE34" s="33">
        <v>0.13969999999999999</v>
      </c>
      <c r="AF34" s="33">
        <v>0.15190000000000001</v>
      </c>
      <c r="AG34" s="33">
        <v>0.21840000000000001</v>
      </c>
      <c r="AH34" s="33">
        <v>0.2361</v>
      </c>
      <c r="AI34" s="33">
        <v>0.2586</v>
      </c>
      <c r="AJ34" s="32">
        <v>1.6741999999999999</v>
      </c>
      <c r="AK34" s="33">
        <v>0.1411</v>
      </c>
      <c r="AL34" s="33">
        <v>0.15329999999999999</v>
      </c>
      <c r="AM34" s="33">
        <v>0.23619999999999999</v>
      </c>
      <c r="AN34" s="33">
        <v>0.25850000000000001</v>
      </c>
      <c r="AO34" s="33">
        <v>0.21870000000000001</v>
      </c>
    </row>
    <row r="35" spans="1:44">
      <c r="A35" s="29" t="s">
        <v>99</v>
      </c>
      <c r="B35" s="10">
        <v>2</v>
      </c>
      <c r="C35" s="29" t="s">
        <v>82</v>
      </c>
      <c r="D35" s="30">
        <v>597966.80000000005</v>
      </c>
      <c r="E35" s="30">
        <v>5851811.2000000002</v>
      </c>
      <c r="F35" s="31">
        <v>24.8</v>
      </c>
      <c r="G35" s="16"/>
      <c r="H35" s="29" t="s">
        <v>119</v>
      </c>
      <c r="I35" s="27" t="s">
        <v>63</v>
      </c>
      <c r="J35" s="31">
        <v>3.06</v>
      </c>
      <c r="K35" s="31">
        <v>4</v>
      </c>
      <c r="L35" s="17">
        <f>F35+J35</f>
        <v>27.86</v>
      </c>
      <c r="M35" s="16">
        <f>F35+K35</f>
        <v>28.8</v>
      </c>
      <c r="N35" s="12">
        <f>(L35+M35)/2</f>
        <v>28.33</v>
      </c>
      <c r="O35" s="11">
        <f>ROUND(N35,0)</f>
        <v>28</v>
      </c>
      <c r="P35" s="13">
        <v>3</v>
      </c>
      <c r="Q35" s="13">
        <f>K35</f>
        <v>4</v>
      </c>
      <c r="R35" s="13">
        <f>P35+F35</f>
        <v>27.8</v>
      </c>
      <c r="S35" s="13">
        <f>F35+Q35</f>
        <v>28.8</v>
      </c>
      <c r="T35" s="13">
        <f>(R35+S35)/2</f>
        <v>28.3</v>
      </c>
      <c r="U35" s="14">
        <f>ROUND(T35,0)</f>
        <v>28</v>
      </c>
      <c r="W35" s="34">
        <v>2.79</v>
      </c>
      <c r="X35" s="31">
        <v>96.48</v>
      </c>
      <c r="Y35" s="31">
        <v>0.73</v>
      </c>
      <c r="Z35" s="31">
        <v>0.61</v>
      </c>
      <c r="AA35" s="31">
        <v>0.52</v>
      </c>
      <c r="AB35" s="34">
        <v>0.73</v>
      </c>
      <c r="AC35" s="31">
        <v>0.65</v>
      </c>
      <c r="AD35" s="32">
        <v>1.6789000000000001</v>
      </c>
      <c r="AE35" s="33">
        <v>0.14000000000000001</v>
      </c>
      <c r="AF35" s="33">
        <v>0.1522</v>
      </c>
      <c r="AG35" s="33">
        <v>0.21779999999999999</v>
      </c>
      <c r="AH35" s="33">
        <v>0.2351</v>
      </c>
      <c r="AI35" s="33">
        <v>0.25659999999999999</v>
      </c>
      <c r="AJ35" s="32">
        <v>1.6525000000000001</v>
      </c>
      <c r="AK35" s="33">
        <v>0.14069999999999999</v>
      </c>
      <c r="AL35" s="33">
        <v>0.15260000000000001</v>
      </c>
      <c r="AM35" s="33">
        <v>0.23250000000000001</v>
      </c>
      <c r="AN35" s="33">
        <v>0.25059999999999999</v>
      </c>
      <c r="AO35" s="33">
        <v>0.216</v>
      </c>
    </row>
    <row r="36" spans="1:44">
      <c r="A36" s="29" t="s">
        <v>99</v>
      </c>
      <c r="B36" s="10">
        <v>2</v>
      </c>
      <c r="C36" s="29" t="s">
        <v>82</v>
      </c>
      <c r="D36" s="30">
        <v>597966.80000000005</v>
      </c>
      <c r="E36" s="30">
        <v>5851811.2000000002</v>
      </c>
      <c r="F36" s="31">
        <v>24.8</v>
      </c>
      <c r="H36" s="29" t="s">
        <v>120</v>
      </c>
      <c r="I36" s="27" t="s">
        <v>61</v>
      </c>
      <c r="J36" s="31">
        <v>4</v>
      </c>
      <c r="K36" s="31">
        <v>4.4000000000000004</v>
      </c>
      <c r="L36" s="17">
        <f>F36+J36</f>
        <v>28.8</v>
      </c>
      <c r="M36" s="16">
        <f>F36+K36</f>
        <v>29.200000000000003</v>
      </c>
      <c r="N36" s="12">
        <f>(L36+M36)/2</f>
        <v>29</v>
      </c>
      <c r="O36" s="11">
        <f>ROUND(N36,0)</f>
        <v>29</v>
      </c>
      <c r="P36" s="13">
        <f>J36</f>
        <v>4</v>
      </c>
      <c r="Q36" s="13">
        <f>K36</f>
        <v>4.4000000000000004</v>
      </c>
      <c r="R36" s="13">
        <f>P36+F36</f>
        <v>28.8</v>
      </c>
      <c r="S36" s="13">
        <f>F36+Q36</f>
        <v>29.200000000000003</v>
      </c>
      <c r="T36" s="13">
        <f>(R36+S36)/2</f>
        <v>29</v>
      </c>
      <c r="U36" s="14">
        <f>ROUND(T36,0)</f>
        <v>29</v>
      </c>
      <c r="W36" s="34">
        <v>2.66</v>
      </c>
      <c r="X36" s="31">
        <v>96.12</v>
      </c>
      <c r="Y36" s="31">
        <v>1.21</v>
      </c>
      <c r="Z36" s="31">
        <v>1.07</v>
      </c>
      <c r="AA36" s="31">
        <v>0.51</v>
      </c>
      <c r="AB36" s="34">
        <v>1.21</v>
      </c>
      <c r="AC36" s="31">
        <v>0.65</v>
      </c>
      <c r="AD36" s="32">
        <v>1.6476</v>
      </c>
      <c r="AE36" s="33">
        <v>0.13739999999999999</v>
      </c>
      <c r="AF36" s="33">
        <v>0.1477</v>
      </c>
      <c r="AG36" s="33">
        <v>0.2104</v>
      </c>
      <c r="AH36" s="33">
        <v>0.22639999999999999</v>
      </c>
      <c r="AI36" s="33">
        <v>0.24360000000000001</v>
      </c>
      <c r="AJ36" s="32">
        <v>1.6240000000000001</v>
      </c>
      <c r="AK36" s="33">
        <v>0.13800000000000001</v>
      </c>
      <c r="AL36" s="33">
        <v>0.14799999999999999</v>
      </c>
      <c r="AM36" s="33">
        <v>0.22420000000000001</v>
      </c>
      <c r="AN36" s="33">
        <v>0.24060000000000001</v>
      </c>
      <c r="AO36" s="33">
        <v>0.2089</v>
      </c>
    </row>
    <row r="37" spans="1:44">
      <c r="A37" s="29" t="s">
        <v>100</v>
      </c>
      <c r="B37" s="10">
        <v>2</v>
      </c>
      <c r="C37" s="29" t="s">
        <v>83</v>
      </c>
      <c r="D37" s="30">
        <v>598733.4</v>
      </c>
      <c r="E37" s="30">
        <v>5851814.5999999996</v>
      </c>
      <c r="F37" s="31">
        <v>23.7</v>
      </c>
      <c r="H37" s="29" t="s">
        <v>111</v>
      </c>
      <c r="I37" s="27" t="s">
        <v>65</v>
      </c>
      <c r="J37" s="31">
        <v>0.1</v>
      </c>
      <c r="K37" s="31">
        <v>0.52</v>
      </c>
      <c r="L37" s="17">
        <f>F37+J37</f>
        <v>23.8</v>
      </c>
      <c r="M37" s="16">
        <f>F37+K37</f>
        <v>24.22</v>
      </c>
      <c r="N37" s="12">
        <f>(L37+M37)/2</f>
        <v>24.009999999999998</v>
      </c>
      <c r="O37" s="11">
        <f>ROUND(N37,0)</f>
        <v>24</v>
      </c>
      <c r="P37" s="13">
        <v>0</v>
      </c>
      <c r="Q37" s="13">
        <f>K37</f>
        <v>0.52</v>
      </c>
      <c r="R37" s="13">
        <f>P37+F37</f>
        <v>23.7</v>
      </c>
      <c r="S37" s="13">
        <f>F37+Q37</f>
        <v>24.22</v>
      </c>
      <c r="T37" s="13">
        <f>(R37+S37)/2</f>
        <v>23.96</v>
      </c>
      <c r="U37" s="14">
        <f>ROUND(T37,0)</f>
        <v>24</v>
      </c>
      <c r="W37" s="34">
        <v>0.35</v>
      </c>
      <c r="X37" s="31">
        <v>97.92</v>
      </c>
      <c r="Y37" s="31">
        <v>1.73</v>
      </c>
      <c r="Z37" s="31">
        <v>1.31</v>
      </c>
      <c r="AA37" s="31">
        <v>1.1200000000000001</v>
      </c>
      <c r="AB37" s="34">
        <v>1.73</v>
      </c>
      <c r="AC37" s="31">
        <v>1.54</v>
      </c>
      <c r="AD37" s="32">
        <v>1.593</v>
      </c>
      <c r="AE37" s="33">
        <v>0.1399</v>
      </c>
      <c r="AF37" s="33">
        <v>0.1525</v>
      </c>
      <c r="AG37" s="33">
        <v>0.20979999999999999</v>
      </c>
      <c r="AH37" s="33">
        <v>0.2228</v>
      </c>
      <c r="AI37" s="33">
        <v>0.2366</v>
      </c>
      <c r="AJ37" s="32">
        <v>1.5601</v>
      </c>
      <c r="AK37" s="33">
        <v>0.1431</v>
      </c>
      <c r="AL37" s="33">
        <v>0.15579999999999999</v>
      </c>
      <c r="AM37" s="33">
        <v>0.2233</v>
      </c>
      <c r="AN37" s="33">
        <v>0.2369</v>
      </c>
      <c r="AO37" s="33">
        <v>0.21049999999999999</v>
      </c>
      <c r="AP37" s="21"/>
    </row>
    <row r="38" spans="1:44">
      <c r="A38" s="29" t="s">
        <v>100</v>
      </c>
      <c r="B38" s="10">
        <v>2</v>
      </c>
      <c r="C38" s="29" t="s">
        <v>83</v>
      </c>
      <c r="D38" s="30">
        <v>598733.4</v>
      </c>
      <c r="E38" s="30">
        <v>5851814.5999999996</v>
      </c>
      <c r="F38" s="31">
        <v>23.7</v>
      </c>
      <c r="H38" s="29" t="s">
        <v>111</v>
      </c>
      <c r="I38" s="27" t="s">
        <v>58</v>
      </c>
      <c r="J38" s="31">
        <v>0.52</v>
      </c>
      <c r="K38" s="31">
        <v>1</v>
      </c>
      <c r="L38" s="17">
        <f>F38+J38</f>
        <v>24.22</v>
      </c>
      <c r="M38" s="16">
        <f>F38+K38</f>
        <v>24.7</v>
      </c>
      <c r="N38" s="12">
        <f>(L38+M38)/2</f>
        <v>24.46</v>
      </c>
      <c r="O38" s="11">
        <f>ROUND(N38,0)</f>
        <v>24</v>
      </c>
      <c r="P38" s="13">
        <f>J38</f>
        <v>0.52</v>
      </c>
      <c r="Q38" s="13">
        <v>1.39</v>
      </c>
      <c r="R38" s="13">
        <f>P38+F38</f>
        <v>24.22</v>
      </c>
      <c r="S38" s="13">
        <f>F38+Q38</f>
        <v>25.09</v>
      </c>
      <c r="T38" s="13">
        <f>(R38+S38)/2</f>
        <v>24.655000000000001</v>
      </c>
      <c r="U38" s="14">
        <f>ROUND(T38,0)</f>
        <v>25</v>
      </c>
      <c r="W38" s="34">
        <v>0.26</v>
      </c>
      <c r="X38" s="31">
        <v>97.83</v>
      </c>
      <c r="Y38" s="31">
        <v>1.9</v>
      </c>
      <c r="Z38" s="31">
        <v>1.6</v>
      </c>
      <c r="AA38" s="31">
        <v>1.02</v>
      </c>
      <c r="AB38" s="34">
        <v>1.9</v>
      </c>
      <c r="AC38" s="31">
        <v>1.33</v>
      </c>
      <c r="AD38" s="32">
        <v>1.6254999999999999</v>
      </c>
      <c r="AE38" s="33">
        <v>0.13850000000000001</v>
      </c>
      <c r="AF38" s="33">
        <v>0.15010000000000001</v>
      </c>
      <c r="AG38" s="33">
        <v>0.2107</v>
      </c>
      <c r="AH38" s="33">
        <v>0.22520000000000001</v>
      </c>
      <c r="AI38" s="33">
        <v>0.24060000000000001</v>
      </c>
      <c r="AJ38" s="32">
        <v>1.599</v>
      </c>
      <c r="AK38" s="33">
        <v>0.14119999999999999</v>
      </c>
      <c r="AL38" s="33">
        <v>0.15279999999999999</v>
      </c>
      <c r="AM38" s="33">
        <v>0.22570000000000001</v>
      </c>
      <c r="AN38" s="33">
        <v>0.2409</v>
      </c>
      <c r="AO38" s="33">
        <v>0.21149999999999999</v>
      </c>
      <c r="AP38" s="21"/>
    </row>
    <row r="39" spans="1:44">
      <c r="A39" s="29" t="s">
        <v>100</v>
      </c>
      <c r="B39" s="10">
        <v>2</v>
      </c>
      <c r="C39" s="29" t="s">
        <v>83</v>
      </c>
      <c r="D39" s="30">
        <v>598733.4</v>
      </c>
      <c r="E39" s="30">
        <v>5851814.5999999996</v>
      </c>
      <c r="F39" s="31">
        <v>23.7</v>
      </c>
      <c r="H39" s="29" t="s">
        <v>112</v>
      </c>
      <c r="I39" s="27" t="s">
        <v>59</v>
      </c>
      <c r="J39" s="31">
        <v>1.39</v>
      </c>
      <c r="K39" s="31">
        <v>2</v>
      </c>
      <c r="L39" s="17">
        <f>F39+J39</f>
        <v>25.09</v>
      </c>
      <c r="M39" s="16">
        <f>F39+K39</f>
        <v>25.7</v>
      </c>
      <c r="N39" s="12">
        <f>(L39+M39)/2</f>
        <v>25.395</v>
      </c>
      <c r="O39" s="11">
        <f>ROUND(N39,0)</f>
        <v>25</v>
      </c>
      <c r="P39" s="13">
        <f>J39</f>
        <v>1.39</v>
      </c>
      <c r="Q39" s="13">
        <v>2</v>
      </c>
      <c r="R39" s="13">
        <f>P39+F39</f>
        <v>25.09</v>
      </c>
      <c r="S39" s="13">
        <f>F39+Q39</f>
        <v>25.7</v>
      </c>
      <c r="T39" s="13">
        <f>(R39+S39)/2</f>
        <v>25.395</v>
      </c>
      <c r="U39" s="14">
        <f>ROUND(T39,0)</f>
        <v>25</v>
      </c>
      <c r="W39" s="34">
        <v>0.06</v>
      </c>
      <c r="X39" s="31">
        <v>98.28</v>
      </c>
      <c r="Y39" s="31">
        <v>1.66</v>
      </c>
      <c r="Z39" s="31">
        <v>1.01</v>
      </c>
      <c r="AA39" s="31">
        <v>0.6</v>
      </c>
      <c r="AB39" s="34">
        <v>1.66</v>
      </c>
      <c r="AC39" s="31">
        <v>1.25</v>
      </c>
      <c r="AD39" s="32">
        <v>1.4113</v>
      </c>
      <c r="AE39" s="33">
        <v>0.15759999999999999</v>
      </c>
      <c r="AF39" s="33">
        <v>0.18129999999999999</v>
      </c>
      <c r="AG39" s="33">
        <v>0.21260000000000001</v>
      </c>
      <c r="AH39" s="33">
        <v>0.2225</v>
      </c>
      <c r="AI39" s="33">
        <v>0.23280000000000001</v>
      </c>
      <c r="AJ39" s="32">
        <v>1.355</v>
      </c>
      <c r="AK39" s="33">
        <v>0.16450000000000001</v>
      </c>
      <c r="AL39" s="33">
        <v>0.18210000000000001</v>
      </c>
      <c r="AM39" s="33">
        <v>0.22289999999999999</v>
      </c>
      <c r="AN39" s="33">
        <v>0.23319999999999999</v>
      </c>
      <c r="AO39" s="33">
        <v>0.21310000000000001</v>
      </c>
    </row>
    <row r="40" spans="1:44">
      <c r="A40" s="29" t="s">
        <v>100</v>
      </c>
      <c r="B40" s="10">
        <v>2</v>
      </c>
      <c r="C40" s="29" t="s">
        <v>83</v>
      </c>
      <c r="D40" s="30">
        <v>598733.4</v>
      </c>
      <c r="E40" s="30">
        <v>5851814.5999999996</v>
      </c>
      <c r="F40" s="31">
        <v>23.7</v>
      </c>
      <c r="H40" s="29" t="s">
        <v>117</v>
      </c>
      <c r="I40" s="27" t="s">
        <v>61</v>
      </c>
      <c r="J40" s="31">
        <v>4.04</v>
      </c>
      <c r="K40" s="31">
        <v>5</v>
      </c>
      <c r="L40" s="17">
        <f>F40+J40</f>
        <v>27.74</v>
      </c>
      <c r="M40" s="16">
        <f>F40+K40</f>
        <v>28.7</v>
      </c>
      <c r="N40" s="12">
        <f>(L40+M40)/2</f>
        <v>28.22</v>
      </c>
      <c r="O40" s="11">
        <f>ROUND(N40,0)</f>
        <v>28</v>
      </c>
      <c r="P40" s="13">
        <f>J40</f>
        <v>4.04</v>
      </c>
      <c r="Q40" s="13">
        <v>5</v>
      </c>
      <c r="R40" s="13">
        <f>P40+F40</f>
        <v>27.74</v>
      </c>
      <c r="S40" s="13">
        <f>F40+Q40</f>
        <v>28.7</v>
      </c>
      <c r="T40" s="13">
        <f>(R40+S40)/2</f>
        <v>28.22</v>
      </c>
      <c r="U40" s="14">
        <f>ROUND(T40,0)</f>
        <v>28</v>
      </c>
      <c r="W40" s="34">
        <v>0</v>
      </c>
      <c r="X40" s="31">
        <v>98.35</v>
      </c>
      <c r="Y40" s="31">
        <v>1.65</v>
      </c>
      <c r="Z40" s="31">
        <v>1.03</v>
      </c>
      <c r="AA40" s="31">
        <v>0.6</v>
      </c>
      <c r="AB40" s="34">
        <v>1.65</v>
      </c>
      <c r="AC40" s="31">
        <v>1.23</v>
      </c>
      <c r="AD40" s="32">
        <v>1.6247</v>
      </c>
      <c r="AE40" s="33">
        <v>0.1343</v>
      </c>
      <c r="AF40" s="33">
        <v>0.14360000000000001</v>
      </c>
      <c r="AG40" s="33">
        <v>0.20369999999999999</v>
      </c>
      <c r="AH40" s="33">
        <v>0.21829999999999999</v>
      </c>
      <c r="AI40" s="33">
        <v>0.23380000000000001</v>
      </c>
      <c r="AJ40" s="32">
        <v>1.6064000000000001</v>
      </c>
      <c r="AK40" s="33">
        <v>0.1363</v>
      </c>
      <c r="AL40" s="33">
        <v>0.14560000000000001</v>
      </c>
      <c r="AM40" s="33">
        <v>0.219</v>
      </c>
      <c r="AN40" s="33">
        <v>0.2344</v>
      </c>
      <c r="AO40" s="33">
        <v>0.2046</v>
      </c>
    </row>
    <row r="41" spans="1:44">
      <c r="A41" s="29" t="s">
        <v>100</v>
      </c>
      <c r="B41" s="10">
        <v>2</v>
      </c>
      <c r="C41" s="29" t="s">
        <v>83</v>
      </c>
      <c r="D41" s="30">
        <v>598733.4</v>
      </c>
      <c r="E41" s="30">
        <v>5851814.5999999996</v>
      </c>
      <c r="F41" s="31">
        <v>23.7</v>
      </c>
      <c r="H41" s="29" t="s">
        <v>113</v>
      </c>
      <c r="I41" s="27" t="s">
        <v>60</v>
      </c>
      <c r="J41" s="31">
        <v>2.0499999999999998</v>
      </c>
      <c r="K41" s="31">
        <v>3</v>
      </c>
      <c r="L41" s="17">
        <f>F41+J41</f>
        <v>25.75</v>
      </c>
      <c r="M41" s="16">
        <f>F41+K41</f>
        <v>26.7</v>
      </c>
      <c r="N41" s="12">
        <f>(L41+M41)/2</f>
        <v>26.225000000000001</v>
      </c>
      <c r="O41" s="11">
        <f>ROUND(N41,0)</f>
        <v>26</v>
      </c>
      <c r="P41" s="13">
        <v>2</v>
      </c>
      <c r="Q41" s="13">
        <f>K41</f>
        <v>3</v>
      </c>
      <c r="R41" s="13">
        <f>P41+F41</f>
        <v>25.7</v>
      </c>
      <c r="S41" s="13">
        <f>F41+Q41</f>
        <v>26.7</v>
      </c>
      <c r="T41" s="13">
        <f>(R41+S41)/2</f>
        <v>26.2</v>
      </c>
      <c r="U41" s="14">
        <f>ROUND(T41,0)</f>
        <v>26</v>
      </c>
      <c r="W41" s="34">
        <v>7.0000000000000007E-2</v>
      </c>
      <c r="X41" s="31">
        <v>98.59</v>
      </c>
      <c r="Y41" s="31">
        <v>1.34</v>
      </c>
      <c r="Z41" s="31">
        <v>0.86</v>
      </c>
      <c r="AA41" s="31">
        <v>0.69</v>
      </c>
      <c r="AB41" s="34">
        <v>1.34</v>
      </c>
      <c r="AC41" s="31">
        <v>1.1599999999999999</v>
      </c>
      <c r="AD41" s="32">
        <v>1.7761</v>
      </c>
      <c r="AE41" s="33">
        <v>0.18490000000000001</v>
      </c>
      <c r="AF41" s="33">
        <v>0.20749999999999999</v>
      </c>
      <c r="AG41" s="33">
        <v>0.30509999999999998</v>
      </c>
      <c r="AH41" s="33">
        <v>0.32850000000000001</v>
      </c>
      <c r="AI41" s="33">
        <v>0.35370000000000001</v>
      </c>
      <c r="AJ41" s="32">
        <v>1.7395</v>
      </c>
      <c r="AK41" s="33">
        <v>0.18940000000000001</v>
      </c>
      <c r="AL41" s="33">
        <v>0.2122</v>
      </c>
      <c r="AM41" s="33">
        <v>0.32950000000000002</v>
      </c>
      <c r="AN41" s="33">
        <v>0.35449999999999998</v>
      </c>
      <c r="AO41" s="33">
        <v>0.30630000000000002</v>
      </c>
    </row>
    <row r="42" spans="1:44">
      <c r="A42" s="29" t="s">
        <v>100</v>
      </c>
      <c r="B42" s="10">
        <v>2</v>
      </c>
      <c r="C42" s="29" t="s">
        <v>83</v>
      </c>
      <c r="D42" s="30">
        <v>598733.4</v>
      </c>
      <c r="E42" s="30">
        <v>5851814.5999999996</v>
      </c>
      <c r="F42" s="31">
        <v>23.7</v>
      </c>
      <c r="H42" s="29" t="s">
        <v>116</v>
      </c>
      <c r="I42" s="27" t="s">
        <v>63</v>
      </c>
      <c r="J42" s="31">
        <v>3.04</v>
      </c>
      <c r="K42" s="31">
        <v>4</v>
      </c>
      <c r="L42" s="17">
        <f>F42+J42</f>
        <v>26.74</v>
      </c>
      <c r="M42" s="16">
        <f>F42+K42</f>
        <v>27.7</v>
      </c>
      <c r="N42" s="12">
        <f>(L42+M42)/2</f>
        <v>27.22</v>
      </c>
      <c r="O42" s="11">
        <f>ROUND(N42,0)</f>
        <v>27</v>
      </c>
      <c r="P42" s="13">
        <v>3</v>
      </c>
      <c r="Q42" s="13">
        <f>K42</f>
        <v>4</v>
      </c>
      <c r="R42" s="13">
        <f>P42+F42</f>
        <v>26.7</v>
      </c>
      <c r="S42" s="13">
        <f>F42+Q42</f>
        <v>27.7</v>
      </c>
      <c r="T42" s="13">
        <f>(R42+S42)/2</f>
        <v>27.2</v>
      </c>
      <c r="U42" s="14">
        <f>ROUND(T42,0)</f>
        <v>27</v>
      </c>
      <c r="W42" s="34">
        <v>0</v>
      </c>
      <c r="X42" s="31">
        <v>98.63</v>
      </c>
      <c r="Y42" s="31">
        <v>1.37</v>
      </c>
      <c r="Z42" s="31">
        <v>0.66</v>
      </c>
      <c r="AA42" s="31">
        <v>0.37</v>
      </c>
      <c r="AB42" s="34">
        <v>1.37</v>
      </c>
      <c r="AC42" s="31">
        <v>1.08</v>
      </c>
      <c r="AD42" s="32">
        <v>2.0030999999999999</v>
      </c>
      <c r="AE42" s="33">
        <v>0.1462</v>
      </c>
      <c r="AF42" s="33">
        <v>0.1668</v>
      </c>
      <c r="AG42" s="33">
        <v>0.27139999999999997</v>
      </c>
      <c r="AH42" s="33">
        <v>0.29289999999999999</v>
      </c>
      <c r="AI42" s="33">
        <v>0.316</v>
      </c>
      <c r="AJ42" s="32">
        <v>1.9590000000000001</v>
      </c>
      <c r="AK42" s="33">
        <v>0.15</v>
      </c>
      <c r="AL42" s="33">
        <v>0.17080000000000001</v>
      </c>
      <c r="AM42" s="33">
        <v>0.29380000000000001</v>
      </c>
      <c r="AN42" s="33">
        <v>0.31680000000000003</v>
      </c>
      <c r="AO42" s="33">
        <v>0.27250000000000002</v>
      </c>
    </row>
    <row r="43" spans="1:44">
      <c r="A43" s="29" t="s">
        <v>100</v>
      </c>
      <c r="B43" s="10">
        <v>2</v>
      </c>
      <c r="C43" s="29" t="s">
        <v>83</v>
      </c>
      <c r="D43" s="30">
        <v>598733.4</v>
      </c>
      <c r="E43" s="30">
        <v>5851814.5999999996</v>
      </c>
      <c r="F43" s="31">
        <v>23.7</v>
      </c>
      <c r="H43" s="29" t="s">
        <v>118</v>
      </c>
      <c r="I43" s="19" t="s">
        <v>62</v>
      </c>
      <c r="J43" s="31">
        <v>5.05</v>
      </c>
      <c r="K43" s="31">
        <v>5.6</v>
      </c>
      <c r="L43" s="17">
        <f>F43+J43</f>
        <v>28.75</v>
      </c>
      <c r="M43" s="16">
        <f>F43+K43</f>
        <v>29.299999999999997</v>
      </c>
      <c r="N43" s="12">
        <f>(L43+M43)/2</f>
        <v>29.024999999999999</v>
      </c>
      <c r="O43" s="11">
        <f>ROUND(N43,0)</f>
        <v>29</v>
      </c>
      <c r="P43" s="13">
        <v>5</v>
      </c>
      <c r="Q43" s="13">
        <f>K43</f>
        <v>5.6</v>
      </c>
      <c r="R43" s="13">
        <f>P43+F43</f>
        <v>28.7</v>
      </c>
      <c r="S43" s="13">
        <f>F43+Q43</f>
        <v>29.299999999999997</v>
      </c>
      <c r="T43" s="13">
        <f>(R43+S43)/2</f>
        <v>29</v>
      </c>
      <c r="U43" s="14">
        <f>ROUND(T43,0)</f>
        <v>29</v>
      </c>
      <c r="W43" s="34">
        <v>0</v>
      </c>
      <c r="X43" s="31">
        <v>98.29</v>
      </c>
      <c r="Y43" s="31">
        <v>1.71</v>
      </c>
      <c r="Z43" s="31">
        <v>1.1399999999999999</v>
      </c>
      <c r="AA43" s="31">
        <v>0.55000000000000004</v>
      </c>
      <c r="AB43" s="34">
        <v>1.71</v>
      </c>
      <c r="AC43" s="31">
        <v>1.1200000000000001</v>
      </c>
      <c r="AD43" s="32">
        <v>1.6331</v>
      </c>
      <c r="AE43" s="33">
        <v>0.13769999999999999</v>
      </c>
      <c r="AF43" s="33">
        <v>0.1492</v>
      </c>
      <c r="AG43" s="33">
        <v>0.21029999999999999</v>
      </c>
      <c r="AH43" s="33">
        <v>0.22489999999999999</v>
      </c>
      <c r="AI43" s="33">
        <v>0.2404</v>
      </c>
      <c r="AJ43" s="32">
        <v>1.6116999999999999</v>
      </c>
      <c r="AK43" s="33">
        <v>0.1399</v>
      </c>
      <c r="AL43" s="33">
        <v>0.1515</v>
      </c>
      <c r="AM43" s="33">
        <v>0.22559999999999999</v>
      </c>
      <c r="AN43" s="33">
        <v>0.24099999999999999</v>
      </c>
      <c r="AO43" s="33">
        <v>0.21110000000000001</v>
      </c>
      <c r="AP43" s="21"/>
      <c r="AR43" s="22"/>
    </row>
    <row r="44" spans="1:44">
      <c r="A44" s="29" t="s">
        <v>101</v>
      </c>
      <c r="B44" s="10">
        <v>2</v>
      </c>
      <c r="C44" s="29" t="s">
        <v>84</v>
      </c>
      <c r="D44" s="30">
        <v>598952.69999999995</v>
      </c>
      <c r="E44" s="30">
        <v>5851811.2999999998</v>
      </c>
      <c r="F44" s="31">
        <v>23.9</v>
      </c>
      <c r="H44" s="29" t="s">
        <v>111</v>
      </c>
      <c r="I44" s="27" t="s">
        <v>65</v>
      </c>
      <c r="J44" s="31">
        <v>0.13</v>
      </c>
      <c r="K44" s="31">
        <v>0.51</v>
      </c>
      <c r="L44" s="17">
        <f>F44+J44</f>
        <v>24.029999999999998</v>
      </c>
      <c r="M44" s="16">
        <f>F44+K44</f>
        <v>24.41</v>
      </c>
      <c r="N44" s="12">
        <f>(L44+M44)/2</f>
        <v>24.22</v>
      </c>
      <c r="O44" s="11">
        <f>ROUND(N44,0)</f>
        <v>24</v>
      </c>
      <c r="P44" s="13">
        <v>0</v>
      </c>
      <c r="Q44" s="13">
        <f>K44</f>
        <v>0.51</v>
      </c>
      <c r="R44" s="13">
        <f>P44+F44</f>
        <v>23.9</v>
      </c>
      <c r="S44" s="13">
        <f>F44+Q44</f>
        <v>24.41</v>
      </c>
      <c r="T44" s="13">
        <f>(R44+S44)/2</f>
        <v>24.155000000000001</v>
      </c>
      <c r="U44" s="14">
        <f>ROUND(T44,0)</f>
        <v>24</v>
      </c>
      <c r="W44" s="34">
        <v>0.11</v>
      </c>
      <c r="X44" s="31">
        <v>96.97</v>
      </c>
      <c r="Y44" s="31">
        <v>2.92</v>
      </c>
      <c r="Z44" s="31">
        <v>2.2599999999999998</v>
      </c>
      <c r="AA44" s="31">
        <v>1.98</v>
      </c>
      <c r="AB44" s="34">
        <v>2.92</v>
      </c>
      <c r="AC44" s="31">
        <v>2.65</v>
      </c>
      <c r="AD44" s="32">
        <v>1.6339999999999999</v>
      </c>
      <c r="AE44" s="33">
        <v>0.13439999999999999</v>
      </c>
      <c r="AF44" s="33">
        <v>0.14480000000000001</v>
      </c>
      <c r="AG44" s="33">
        <v>0.20569999999999999</v>
      </c>
      <c r="AH44" s="33">
        <v>0.21959999999999999</v>
      </c>
      <c r="AI44" s="33">
        <v>0.2344</v>
      </c>
      <c r="AJ44" s="32">
        <v>1.5874999999999999</v>
      </c>
      <c r="AK44" s="33">
        <v>0.13919999999999999</v>
      </c>
      <c r="AL44" s="33">
        <v>0.1497</v>
      </c>
      <c r="AM44" s="33">
        <v>0.221</v>
      </c>
      <c r="AN44" s="33">
        <v>0.23549999999999999</v>
      </c>
      <c r="AO44" s="33">
        <v>0.2074</v>
      </c>
      <c r="AP44" s="21"/>
      <c r="AR44" s="22"/>
    </row>
    <row r="45" spans="1:44">
      <c r="A45" s="29" t="s">
        <v>101</v>
      </c>
      <c r="B45" s="10">
        <v>2</v>
      </c>
      <c r="C45" s="29" t="s">
        <v>84</v>
      </c>
      <c r="D45" s="30">
        <v>598952.69999999995</v>
      </c>
      <c r="E45" s="30">
        <v>5851811.2999999998</v>
      </c>
      <c r="F45" s="31">
        <v>23.9</v>
      </c>
      <c r="H45" s="29" t="s">
        <v>111</v>
      </c>
      <c r="I45" s="27" t="s">
        <v>58</v>
      </c>
      <c r="J45" s="31">
        <v>0.51</v>
      </c>
      <c r="K45" s="31">
        <v>1</v>
      </c>
      <c r="L45" s="17">
        <f>F45+J45</f>
        <v>24.41</v>
      </c>
      <c r="M45" s="16">
        <f>F45+K45</f>
        <v>24.9</v>
      </c>
      <c r="N45" s="12">
        <f>(L45+M45)/2</f>
        <v>24.655000000000001</v>
      </c>
      <c r="O45" s="11">
        <f>ROUND(N45,0)</f>
        <v>25</v>
      </c>
      <c r="P45" s="13">
        <f>J45</f>
        <v>0.51</v>
      </c>
      <c r="Q45" s="13">
        <f>K45</f>
        <v>1</v>
      </c>
      <c r="R45" s="13">
        <f>P45+F45</f>
        <v>24.41</v>
      </c>
      <c r="S45" s="13">
        <f>F45+Q45</f>
        <v>24.9</v>
      </c>
      <c r="T45" s="13">
        <f>(R45+S45)/2</f>
        <v>24.655000000000001</v>
      </c>
      <c r="U45" s="14">
        <f>ROUND(T45,0)</f>
        <v>25</v>
      </c>
      <c r="W45" s="34">
        <v>7.0000000000000007E-2</v>
      </c>
      <c r="X45" s="31">
        <v>97.64</v>
      </c>
      <c r="Y45" s="31">
        <v>2.29</v>
      </c>
      <c r="Z45" s="31">
        <v>1.86</v>
      </c>
      <c r="AA45" s="31">
        <v>1.33</v>
      </c>
      <c r="AB45" s="34">
        <v>2.29</v>
      </c>
      <c r="AC45" s="31">
        <v>1.76</v>
      </c>
      <c r="AD45" s="32">
        <v>1.6059000000000001</v>
      </c>
      <c r="AE45" s="33">
        <v>0.1361</v>
      </c>
      <c r="AF45" s="33">
        <v>0.14649999999999999</v>
      </c>
      <c r="AG45" s="33">
        <v>0.20530000000000001</v>
      </c>
      <c r="AH45" s="33">
        <v>0.21859999999999999</v>
      </c>
      <c r="AI45" s="33">
        <v>0.23280000000000001</v>
      </c>
      <c r="AJ45" s="32">
        <v>1.5759000000000001</v>
      </c>
      <c r="AK45" s="33">
        <v>0.13930000000000001</v>
      </c>
      <c r="AL45" s="33">
        <v>0.1497</v>
      </c>
      <c r="AM45" s="33">
        <v>0.2195</v>
      </c>
      <c r="AN45" s="33">
        <v>0.23350000000000001</v>
      </c>
      <c r="AO45" s="33">
        <v>0.2064</v>
      </c>
    </row>
    <row r="46" spans="1:44">
      <c r="A46" s="29" t="s">
        <v>101</v>
      </c>
      <c r="B46" s="10">
        <v>2</v>
      </c>
      <c r="C46" s="29" t="s">
        <v>84</v>
      </c>
      <c r="D46" s="30">
        <v>598952.69999999995</v>
      </c>
      <c r="E46" s="30">
        <v>5851811.2999999998</v>
      </c>
      <c r="F46" s="31">
        <v>23.9</v>
      </c>
      <c r="H46" s="29" t="s">
        <v>112</v>
      </c>
      <c r="I46" s="27" t="s">
        <v>59</v>
      </c>
      <c r="J46" s="31">
        <v>1.04</v>
      </c>
      <c r="K46" s="31">
        <v>1.45</v>
      </c>
      <c r="L46" s="17">
        <f>F46+J46</f>
        <v>24.939999999999998</v>
      </c>
      <c r="M46" s="16">
        <f>F46+K46</f>
        <v>25.349999999999998</v>
      </c>
      <c r="N46" s="12">
        <f>(L46+M46)/2</f>
        <v>25.144999999999996</v>
      </c>
      <c r="O46" s="11">
        <f>ROUND(N46,0)</f>
        <v>25</v>
      </c>
      <c r="P46" s="13">
        <v>1</v>
      </c>
      <c r="Q46" s="13">
        <v>2</v>
      </c>
      <c r="R46" s="13">
        <f>P46+F46</f>
        <v>24.9</v>
      </c>
      <c r="S46" s="13">
        <f>F46+Q46</f>
        <v>25.9</v>
      </c>
      <c r="T46" s="13">
        <f>(R46+S46)/2</f>
        <v>25.4</v>
      </c>
      <c r="U46" s="14">
        <f>ROUND(T46,0)</f>
        <v>25</v>
      </c>
      <c r="W46" s="34">
        <v>4.7</v>
      </c>
      <c r="X46" s="31">
        <v>93.64</v>
      </c>
      <c r="Y46" s="31">
        <v>1.66</v>
      </c>
      <c r="Z46" s="31">
        <v>1.01</v>
      </c>
      <c r="AA46" s="31">
        <v>0.91</v>
      </c>
      <c r="AB46" s="34">
        <v>1.66</v>
      </c>
      <c r="AC46" s="31">
        <v>1.56</v>
      </c>
      <c r="AD46" s="32">
        <v>1.7497</v>
      </c>
      <c r="AE46" s="33">
        <v>0.14269999999999999</v>
      </c>
      <c r="AF46" s="33">
        <v>0.15809999999999999</v>
      </c>
      <c r="AG46" s="33">
        <v>0.22950000000000001</v>
      </c>
      <c r="AH46" s="33">
        <v>0.24979999999999999</v>
      </c>
      <c r="AI46" s="33">
        <v>0.3044</v>
      </c>
      <c r="AJ46" s="32">
        <v>1.6851</v>
      </c>
      <c r="AK46" s="33">
        <v>0.14549999999999999</v>
      </c>
      <c r="AL46" s="33">
        <v>0.16009999999999999</v>
      </c>
      <c r="AM46" s="33">
        <v>0.24510000000000001</v>
      </c>
      <c r="AN46" s="33">
        <v>0.2878</v>
      </c>
      <c r="AO46" s="33">
        <v>0.22639999999999999</v>
      </c>
      <c r="AP46" s="21"/>
    </row>
    <row r="47" spans="1:44">
      <c r="A47" s="29" t="s">
        <v>101</v>
      </c>
      <c r="B47" s="10">
        <v>2</v>
      </c>
      <c r="C47" s="29" t="s">
        <v>84</v>
      </c>
      <c r="D47" s="30">
        <v>598952.69999999995</v>
      </c>
      <c r="E47" s="30">
        <v>5851811.2999999998</v>
      </c>
      <c r="F47" s="31">
        <v>23.9</v>
      </c>
      <c r="H47" s="29" t="s">
        <v>113</v>
      </c>
      <c r="I47" s="27" t="s">
        <v>60</v>
      </c>
      <c r="J47" s="31">
        <v>2.04</v>
      </c>
      <c r="K47" s="31">
        <v>3</v>
      </c>
      <c r="L47" s="17">
        <f>F47+J47</f>
        <v>25.939999999999998</v>
      </c>
      <c r="M47" s="16">
        <f>F47+K47</f>
        <v>26.9</v>
      </c>
      <c r="N47" s="12">
        <f>(L47+M47)/2</f>
        <v>26.419999999999998</v>
      </c>
      <c r="O47" s="11">
        <f>ROUND(N47,0)</f>
        <v>26</v>
      </c>
      <c r="P47" s="13">
        <v>2</v>
      </c>
      <c r="Q47" s="13">
        <f>K47</f>
        <v>3</v>
      </c>
      <c r="R47" s="13">
        <f>P47+F47</f>
        <v>25.9</v>
      </c>
      <c r="S47" s="13">
        <f>F47+Q47</f>
        <v>26.9</v>
      </c>
      <c r="T47" s="13">
        <f>(R47+S47)/2</f>
        <v>26.4</v>
      </c>
      <c r="U47" s="14">
        <f>ROUND(T47,0)</f>
        <v>26</v>
      </c>
      <c r="W47" s="34">
        <v>0.94</v>
      </c>
      <c r="X47" s="31">
        <v>97.71</v>
      </c>
      <c r="Y47" s="31">
        <v>1.35</v>
      </c>
      <c r="Z47" s="31">
        <v>0.94</v>
      </c>
      <c r="AA47" s="31">
        <v>0.71</v>
      </c>
      <c r="AB47" s="34">
        <v>1.35</v>
      </c>
      <c r="AC47" s="31">
        <v>1.1200000000000001</v>
      </c>
      <c r="AD47" s="32">
        <v>1.9391</v>
      </c>
      <c r="AE47" s="33">
        <v>0.16020000000000001</v>
      </c>
      <c r="AF47" s="33">
        <v>0.19109999999999999</v>
      </c>
      <c r="AG47" s="33">
        <v>0.29170000000000001</v>
      </c>
      <c r="AH47" s="33">
        <v>0.31069999999999998</v>
      </c>
      <c r="AI47" s="33">
        <v>0.33100000000000002</v>
      </c>
      <c r="AJ47" s="32">
        <v>1.8613999999999999</v>
      </c>
      <c r="AK47" s="33">
        <v>0.1668</v>
      </c>
      <c r="AL47" s="33">
        <v>0.1951</v>
      </c>
      <c r="AM47" s="33">
        <v>0.3105</v>
      </c>
      <c r="AN47" s="33">
        <v>0.33029999999999998</v>
      </c>
      <c r="AO47" s="33">
        <v>0.29189999999999999</v>
      </c>
      <c r="AP47" s="21"/>
    </row>
    <row r="48" spans="1:44">
      <c r="A48" s="29" t="s">
        <v>101</v>
      </c>
      <c r="B48" s="10">
        <v>2</v>
      </c>
      <c r="C48" s="29" t="s">
        <v>84</v>
      </c>
      <c r="D48" s="30">
        <v>598952.69999999995</v>
      </c>
      <c r="E48" s="30">
        <v>5851811.2999999998</v>
      </c>
      <c r="F48" s="31">
        <v>23.9</v>
      </c>
      <c r="H48" s="29" t="s">
        <v>116</v>
      </c>
      <c r="I48" s="27" t="s">
        <v>63</v>
      </c>
      <c r="J48" s="31">
        <v>3.05</v>
      </c>
      <c r="K48" s="31">
        <v>4</v>
      </c>
      <c r="L48" s="17">
        <f>F48+J48</f>
        <v>26.95</v>
      </c>
      <c r="M48" s="16">
        <f>F48+K48</f>
        <v>27.9</v>
      </c>
      <c r="N48" s="12">
        <f>(L48+M48)/2</f>
        <v>27.424999999999997</v>
      </c>
      <c r="O48" s="11">
        <f>ROUND(N48,0)</f>
        <v>27</v>
      </c>
      <c r="P48" s="13">
        <v>3</v>
      </c>
      <c r="Q48" s="13">
        <f>K48</f>
        <v>4</v>
      </c>
      <c r="R48" s="13">
        <f>P48+F48</f>
        <v>26.9</v>
      </c>
      <c r="S48" s="13">
        <f>F48+Q48</f>
        <v>27.9</v>
      </c>
      <c r="T48" s="13">
        <f>(R48+S48)/2</f>
        <v>27.4</v>
      </c>
      <c r="U48" s="14">
        <f>ROUND(T48,0)</f>
        <v>27</v>
      </c>
      <c r="W48" s="34">
        <v>0</v>
      </c>
      <c r="X48" s="31">
        <v>98.73</v>
      </c>
      <c r="Y48" s="31">
        <v>1.27</v>
      </c>
      <c r="Z48" s="31">
        <v>0.9</v>
      </c>
      <c r="AA48" s="31">
        <v>0.65</v>
      </c>
      <c r="AB48" s="34">
        <v>1.27</v>
      </c>
      <c r="AC48" s="31">
        <v>1.02</v>
      </c>
      <c r="AD48" s="32">
        <v>1.5959000000000001</v>
      </c>
      <c r="AE48" s="33">
        <v>0.1978</v>
      </c>
      <c r="AF48" s="33">
        <v>0.2346</v>
      </c>
      <c r="AG48" s="33">
        <v>0.29899999999999999</v>
      </c>
      <c r="AH48" s="33">
        <v>0.31559999999999999</v>
      </c>
      <c r="AI48" s="33">
        <v>0.3332</v>
      </c>
      <c r="AJ48" s="32">
        <v>1.5503</v>
      </c>
      <c r="AK48" s="33">
        <v>0.2041</v>
      </c>
      <c r="AL48" s="33">
        <v>0.24160000000000001</v>
      </c>
      <c r="AM48" s="33">
        <v>0.31630000000000003</v>
      </c>
      <c r="AN48" s="33">
        <v>0.3337</v>
      </c>
      <c r="AO48" s="33">
        <v>0.2999</v>
      </c>
      <c r="AP48" s="21"/>
    </row>
    <row r="49" spans="1:44">
      <c r="A49" s="29" t="s">
        <v>101</v>
      </c>
      <c r="B49" s="10">
        <v>2</v>
      </c>
      <c r="C49" s="29" t="s">
        <v>84</v>
      </c>
      <c r="D49" s="30">
        <v>598952.69999999995</v>
      </c>
      <c r="E49" s="30">
        <v>5851811.2999999998</v>
      </c>
      <c r="F49" s="31">
        <v>23.9</v>
      </c>
      <c r="H49" s="29" t="s">
        <v>117</v>
      </c>
      <c r="I49" s="27" t="s">
        <v>61</v>
      </c>
      <c r="J49" s="31">
        <v>4</v>
      </c>
      <c r="K49" s="31">
        <v>5</v>
      </c>
      <c r="L49" s="17">
        <f>F49+J49</f>
        <v>27.9</v>
      </c>
      <c r="M49" s="16">
        <f>F49+K49</f>
        <v>28.9</v>
      </c>
      <c r="N49" s="12">
        <f>(L49+M49)/2</f>
        <v>28.4</v>
      </c>
      <c r="O49" s="11">
        <f>ROUND(N49,0)</f>
        <v>28</v>
      </c>
      <c r="P49" s="13">
        <f>J49</f>
        <v>4</v>
      </c>
      <c r="Q49" s="13">
        <f>K49</f>
        <v>5</v>
      </c>
      <c r="R49" s="13">
        <f>P49+F49</f>
        <v>27.9</v>
      </c>
      <c r="S49" s="13">
        <f>F49+Q49</f>
        <v>28.9</v>
      </c>
      <c r="T49" s="13">
        <f>(R49+S49)/2</f>
        <v>28.4</v>
      </c>
      <c r="U49" s="14">
        <f>ROUND(T49,0)</f>
        <v>28</v>
      </c>
      <c r="W49" s="34">
        <v>0.06</v>
      </c>
      <c r="X49" s="31">
        <v>98.65</v>
      </c>
      <c r="Y49" s="31">
        <v>1.29</v>
      </c>
      <c r="Z49" s="31">
        <v>0.83</v>
      </c>
      <c r="AA49" s="31">
        <v>0.51</v>
      </c>
      <c r="AB49" s="34">
        <v>1.29</v>
      </c>
      <c r="AC49" s="31">
        <v>0.98</v>
      </c>
      <c r="AD49" s="32">
        <v>2.1194999999999999</v>
      </c>
      <c r="AE49" s="33">
        <v>0.15820000000000001</v>
      </c>
      <c r="AF49" s="33">
        <v>0.18820000000000001</v>
      </c>
      <c r="AG49" s="33">
        <v>0.30819999999999997</v>
      </c>
      <c r="AH49" s="33">
        <v>0.3352</v>
      </c>
      <c r="AI49" s="33">
        <v>0.37040000000000001</v>
      </c>
      <c r="AJ49" s="32">
        <v>2.0566</v>
      </c>
      <c r="AK49" s="33">
        <v>0.16350000000000001</v>
      </c>
      <c r="AL49" s="33">
        <v>0.19259999999999999</v>
      </c>
      <c r="AM49" s="33">
        <v>0.3362</v>
      </c>
      <c r="AN49" s="33">
        <v>0.37159999999999999</v>
      </c>
      <c r="AO49" s="33">
        <v>0.30940000000000001</v>
      </c>
      <c r="AP49" s="21"/>
      <c r="AR49" s="22"/>
    </row>
    <row r="50" spans="1:44">
      <c r="A50" s="29" t="s">
        <v>101</v>
      </c>
      <c r="B50" s="10">
        <v>2</v>
      </c>
      <c r="C50" s="29" t="s">
        <v>84</v>
      </c>
      <c r="D50" s="30">
        <v>598952.69999999995</v>
      </c>
      <c r="E50" s="30">
        <v>5851811.2999999998</v>
      </c>
      <c r="F50" s="31">
        <v>23.9</v>
      </c>
      <c r="G50" s="16"/>
      <c r="H50" s="29" t="s">
        <v>118</v>
      </c>
      <c r="I50" s="19" t="s">
        <v>62</v>
      </c>
      <c r="J50" s="31">
        <v>5.04</v>
      </c>
      <c r="K50" s="31">
        <v>6</v>
      </c>
      <c r="L50" s="17">
        <f>F50+J50</f>
        <v>28.939999999999998</v>
      </c>
      <c r="M50" s="16">
        <f>F50+K50</f>
        <v>29.9</v>
      </c>
      <c r="N50" s="12">
        <f>(L50+M50)/2</f>
        <v>29.419999999999998</v>
      </c>
      <c r="O50" s="11">
        <f>ROUND(N50,0)</f>
        <v>29</v>
      </c>
      <c r="P50" s="13">
        <f>J50</f>
        <v>5.04</v>
      </c>
      <c r="Q50" s="13">
        <f>K50</f>
        <v>6</v>
      </c>
      <c r="R50" s="13">
        <f>P50+F50</f>
        <v>28.939999999999998</v>
      </c>
      <c r="S50" s="13">
        <f>F50+Q50</f>
        <v>29.9</v>
      </c>
      <c r="T50" s="13">
        <f>(R50+S50)/2</f>
        <v>29.419999999999998</v>
      </c>
      <c r="U50" s="14">
        <f>ROUND(T50,0)</f>
        <v>29</v>
      </c>
      <c r="W50" s="34">
        <v>0</v>
      </c>
      <c r="X50" s="31">
        <v>98.94</v>
      </c>
      <c r="Y50" s="31">
        <v>1.06</v>
      </c>
      <c r="Z50" s="31">
        <v>0.95</v>
      </c>
      <c r="AA50" s="31">
        <v>0.63</v>
      </c>
      <c r="AB50" s="34">
        <v>1.06</v>
      </c>
      <c r="AC50" s="31">
        <v>0.75</v>
      </c>
      <c r="AD50" s="32">
        <v>1.6168</v>
      </c>
      <c r="AE50" s="33">
        <v>0.12790000000000001</v>
      </c>
      <c r="AF50" s="33">
        <v>0.13389999999999999</v>
      </c>
      <c r="AG50" s="33">
        <v>0.18579999999999999</v>
      </c>
      <c r="AH50" s="33">
        <v>0.20669999999999999</v>
      </c>
      <c r="AI50" s="33">
        <v>0.23</v>
      </c>
      <c r="AJ50" s="32">
        <v>1.6120000000000001</v>
      </c>
      <c r="AK50" s="33">
        <v>0.12859999999999999</v>
      </c>
      <c r="AL50" s="33">
        <v>0.13469999999999999</v>
      </c>
      <c r="AM50" s="33">
        <v>0.2074</v>
      </c>
      <c r="AN50" s="33">
        <v>0.2306</v>
      </c>
      <c r="AO50" s="33">
        <v>0.1865</v>
      </c>
      <c r="AP50" s="21"/>
      <c r="AR50" s="22"/>
    </row>
    <row r="51" spans="1:44">
      <c r="A51" s="29" t="s">
        <v>102</v>
      </c>
      <c r="B51" s="10">
        <v>2</v>
      </c>
      <c r="C51" s="29" t="s">
        <v>85</v>
      </c>
      <c r="D51" s="30">
        <v>598373.4</v>
      </c>
      <c r="E51" s="30">
        <v>5853567</v>
      </c>
      <c r="F51" s="31">
        <v>26.4</v>
      </c>
      <c r="G51" s="16"/>
      <c r="H51" s="29" t="s">
        <v>111</v>
      </c>
      <c r="I51" s="27" t="s">
        <v>65</v>
      </c>
      <c r="J51" s="31">
        <v>0.08</v>
      </c>
      <c r="K51" s="31">
        <v>0.41</v>
      </c>
      <c r="L51" s="17">
        <f>F51+J51</f>
        <v>26.479999999999997</v>
      </c>
      <c r="M51" s="16">
        <f>F51+K51</f>
        <v>26.81</v>
      </c>
      <c r="N51" s="12">
        <f>(L51+M51)/2</f>
        <v>26.644999999999996</v>
      </c>
      <c r="O51" s="11">
        <f>ROUND(N51,0)</f>
        <v>27</v>
      </c>
      <c r="P51" s="13">
        <v>0</v>
      </c>
      <c r="Q51" s="13">
        <f>K51</f>
        <v>0.41</v>
      </c>
      <c r="R51" s="13">
        <f>P51+F51</f>
        <v>26.4</v>
      </c>
      <c r="S51" s="13">
        <f>F51+Q51</f>
        <v>26.81</v>
      </c>
      <c r="T51" s="13">
        <f>(R51+S51)/2</f>
        <v>26.604999999999997</v>
      </c>
      <c r="U51" s="14">
        <f>ROUND(T51,0)</f>
        <v>27</v>
      </c>
      <c r="W51" s="34">
        <v>0.02</v>
      </c>
      <c r="X51" s="31">
        <v>98.95</v>
      </c>
      <c r="Y51" s="31">
        <v>1.03</v>
      </c>
      <c r="Z51" s="31">
        <v>0.73</v>
      </c>
      <c r="AA51" s="31">
        <v>0.57999999999999996</v>
      </c>
      <c r="AB51" s="34">
        <v>1.03</v>
      </c>
      <c r="AC51" s="31">
        <v>0.88</v>
      </c>
      <c r="AD51" s="32">
        <v>1.6393</v>
      </c>
      <c r="AE51" s="33">
        <v>0.13980000000000001</v>
      </c>
      <c r="AF51" s="33">
        <v>0.1535</v>
      </c>
      <c r="AG51" s="33">
        <v>0.2145</v>
      </c>
      <c r="AH51" s="33">
        <v>0.22919999999999999</v>
      </c>
      <c r="AI51" s="33">
        <v>0.24490000000000001</v>
      </c>
      <c r="AJ51" s="32">
        <v>1.6189</v>
      </c>
      <c r="AK51" s="33">
        <v>0.1419</v>
      </c>
      <c r="AL51" s="33">
        <v>0.15570000000000001</v>
      </c>
      <c r="AM51" s="33">
        <v>0.22969999999999999</v>
      </c>
      <c r="AN51" s="33">
        <v>0.24529999999999999</v>
      </c>
      <c r="AO51" s="33">
        <v>0.21510000000000001</v>
      </c>
      <c r="AP51" s="21"/>
      <c r="AR51" s="22"/>
    </row>
    <row r="52" spans="1:44">
      <c r="A52" s="29" t="s">
        <v>102</v>
      </c>
      <c r="B52" s="10">
        <v>2</v>
      </c>
      <c r="C52" s="29" t="s">
        <v>85</v>
      </c>
      <c r="D52" s="30">
        <v>598373.4</v>
      </c>
      <c r="E52" s="30">
        <v>5853567</v>
      </c>
      <c r="F52" s="31">
        <v>26.4</v>
      </c>
      <c r="H52" s="29" t="s">
        <v>111</v>
      </c>
      <c r="I52" s="27" t="s">
        <v>58</v>
      </c>
      <c r="J52" s="31">
        <v>0.41</v>
      </c>
      <c r="K52" s="31">
        <v>1</v>
      </c>
      <c r="L52" s="17">
        <f>F52+J52</f>
        <v>26.81</v>
      </c>
      <c r="M52" s="16">
        <f>F52+K52</f>
        <v>27.4</v>
      </c>
      <c r="N52" s="12">
        <f>(L52+M52)/2</f>
        <v>27.104999999999997</v>
      </c>
      <c r="O52" s="11">
        <f>ROUND(N52,0)</f>
        <v>27</v>
      </c>
      <c r="P52" s="13">
        <f>J52</f>
        <v>0.41</v>
      </c>
      <c r="Q52" s="13">
        <f>K52</f>
        <v>1</v>
      </c>
      <c r="R52" s="13">
        <f>P52+F52</f>
        <v>26.81</v>
      </c>
      <c r="S52" s="13">
        <f>F52+Q52</f>
        <v>27.4</v>
      </c>
      <c r="T52" s="13">
        <f>(R52+S52)/2</f>
        <v>27.104999999999997</v>
      </c>
      <c r="U52" s="14">
        <f>ROUND(T52,0)</f>
        <v>27</v>
      </c>
      <c r="W52" s="34">
        <v>0</v>
      </c>
      <c r="X52" s="31">
        <v>98.75</v>
      </c>
      <c r="Y52" s="31">
        <v>1.25</v>
      </c>
      <c r="Z52" s="31">
        <v>1.01</v>
      </c>
      <c r="AA52" s="31">
        <v>0.6</v>
      </c>
      <c r="AB52" s="34">
        <v>1.25</v>
      </c>
      <c r="AC52" s="31">
        <v>0.84</v>
      </c>
      <c r="AD52" s="32">
        <v>1.593</v>
      </c>
      <c r="AE52" s="33">
        <v>0.1525</v>
      </c>
      <c r="AF52" s="33">
        <v>0.17610000000000001</v>
      </c>
      <c r="AG52" s="33">
        <v>0.22700000000000001</v>
      </c>
      <c r="AH52" s="33">
        <v>0.2429</v>
      </c>
      <c r="AI52" s="33">
        <v>0.26900000000000002</v>
      </c>
      <c r="AJ52" s="32">
        <v>1.5621</v>
      </c>
      <c r="AK52" s="33">
        <v>0.15579999999999999</v>
      </c>
      <c r="AL52" s="33">
        <v>0.17979999999999999</v>
      </c>
      <c r="AM52" s="33">
        <v>0.24340000000000001</v>
      </c>
      <c r="AN52" s="33">
        <v>0.26989999999999997</v>
      </c>
      <c r="AO52" s="33">
        <v>0.2276</v>
      </c>
      <c r="AP52" s="21"/>
      <c r="AR52" s="22"/>
    </row>
    <row r="53" spans="1:44">
      <c r="A53" s="29" t="s">
        <v>102</v>
      </c>
      <c r="B53" s="10">
        <v>2</v>
      </c>
      <c r="C53" s="29" t="s">
        <v>85</v>
      </c>
      <c r="D53" s="30">
        <v>598373.4</v>
      </c>
      <c r="E53" s="30">
        <v>5853567</v>
      </c>
      <c r="F53" s="31">
        <v>26.4</v>
      </c>
      <c r="H53" s="29" t="s">
        <v>112</v>
      </c>
      <c r="I53" s="27" t="s">
        <v>59</v>
      </c>
      <c r="J53" s="31">
        <v>1.04</v>
      </c>
      <c r="K53" s="31">
        <v>2</v>
      </c>
      <c r="L53" s="17">
        <f>F53+J53</f>
        <v>27.439999999999998</v>
      </c>
      <c r="M53" s="16">
        <f>F53+K53</f>
        <v>28.4</v>
      </c>
      <c r="N53" s="12">
        <f>(L53+M53)/2</f>
        <v>27.919999999999998</v>
      </c>
      <c r="O53" s="11">
        <f>ROUND(N53,0)</f>
        <v>28</v>
      </c>
      <c r="P53" s="13">
        <v>1</v>
      </c>
      <c r="Q53" s="13">
        <f>K53</f>
        <v>2</v>
      </c>
      <c r="R53" s="13">
        <f>P53+F53</f>
        <v>27.4</v>
      </c>
      <c r="S53" s="13">
        <f>F53+Q53</f>
        <v>28.4</v>
      </c>
      <c r="T53" s="13">
        <f>(R53+S53)/2</f>
        <v>27.9</v>
      </c>
      <c r="U53" s="14">
        <f>ROUND(T53,0)</f>
        <v>28</v>
      </c>
      <c r="W53" s="34">
        <v>0</v>
      </c>
      <c r="X53" s="31">
        <v>98.86</v>
      </c>
      <c r="Y53" s="31">
        <v>1.1399999999999999</v>
      </c>
      <c r="Z53" s="31">
        <v>0.86</v>
      </c>
      <c r="AA53" s="31">
        <v>0.6</v>
      </c>
      <c r="AB53" s="34">
        <v>1.1399999999999999</v>
      </c>
      <c r="AC53" s="31">
        <v>0.87</v>
      </c>
      <c r="AD53" s="32">
        <v>1.6785000000000001</v>
      </c>
      <c r="AE53" s="33">
        <v>0.14230000000000001</v>
      </c>
      <c r="AF53" s="33">
        <v>0.1573</v>
      </c>
      <c r="AG53" s="33">
        <v>0.22189999999999999</v>
      </c>
      <c r="AH53" s="33">
        <v>0.2389</v>
      </c>
      <c r="AI53" s="33">
        <v>0.26300000000000001</v>
      </c>
      <c r="AJ53" s="32">
        <v>1.6566000000000001</v>
      </c>
      <c r="AK53" s="33">
        <v>0.14460000000000001</v>
      </c>
      <c r="AL53" s="33">
        <v>0.15970000000000001</v>
      </c>
      <c r="AM53" s="33">
        <v>0.23949999999999999</v>
      </c>
      <c r="AN53" s="33">
        <v>0.26390000000000002</v>
      </c>
      <c r="AO53" s="33">
        <v>0.22259999999999999</v>
      </c>
      <c r="AP53" s="21"/>
      <c r="AR53" s="22"/>
    </row>
    <row r="54" spans="1:44">
      <c r="A54" s="29" t="s">
        <v>102</v>
      </c>
      <c r="B54" s="10">
        <v>2</v>
      </c>
      <c r="C54" s="29" t="s">
        <v>85</v>
      </c>
      <c r="D54" s="30">
        <v>598373.4</v>
      </c>
      <c r="E54" s="30">
        <v>5853567</v>
      </c>
      <c r="F54" s="31">
        <v>26.4</v>
      </c>
      <c r="G54" s="16"/>
      <c r="H54" s="29" t="s">
        <v>113</v>
      </c>
      <c r="I54" s="27" t="s">
        <v>60</v>
      </c>
      <c r="J54" s="31">
        <v>2.0499999999999998</v>
      </c>
      <c r="K54" s="31">
        <v>3</v>
      </c>
      <c r="L54" s="17">
        <f>F54+J54</f>
        <v>28.45</v>
      </c>
      <c r="M54" s="16">
        <f>F54+K54</f>
        <v>29.4</v>
      </c>
      <c r="N54" s="12">
        <f>(L54+M54)/2</f>
        <v>28.924999999999997</v>
      </c>
      <c r="O54" s="11">
        <f>ROUND(N54,0)</f>
        <v>29</v>
      </c>
      <c r="P54" s="13">
        <v>2</v>
      </c>
      <c r="Q54" s="13">
        <f>K54</f>
        <v>3</v>
      </c>
      <c r="R54" s="13">
        <f>P54+F54</f>
        <v>28.4</v>
      </c>
      <c r="S54" s="13">
        <f>F54+Q54</f>
        <v>29.4</v>
      </c>
      <c r="T54" s="13">
        <f>(R54+S54)/2</f>
        <v>28.9</v>
      </c>
      <c r="U54" s="14">
        <f>ROUND(T54,0)</f>
        <v>29</v>
      </c>
      <c r="W54" s="34">
        <v>0</v>
      </c>
      <c r="X54" s="31">
        <v>99.06</v>
      </c>
      <c r="Y54" s="31">
        <v>0.94</v>
      </c>
      <c r="Z54" s="31">
        <v>0.82</v>
      </c>
      <c r="AA54" s="31">
        <v>0.55000000000000004</v>
      </c>
      <c r="AB54" s="34">
        <v>0.94</v>
      </c>
      <c r="AC54" s="31">
        <v>0.67</v>
      </c>
      <c r="AD54" s="32">
        <v>1.7017</v>
      </c>
      <c r="AE54" s="33">
        <v>0.1414</v>
      </c>
      <c r="AF54" s="33">
        <v>0.15540000000000001</v>
      </c>
      <c r="AG54" s="33">
        <v>0.22259999999999999</v>
      </c>
      <c r="AH54" s="33">
        <v>0.24060000000000001</v>
      </c>
      <c r="AI54" s="33">
        <v>0.26519999999999999</v>
      </c>
      <c r="AJ54" s="32">
        <v>1.6859</v>
      </c>
      <c r="AK54" s="33">
        <v>0.14299999999999999</v>
      </c>
      <c r="AL54" s="33">
        <v>0.15709999999999999</v>
      </c>
      <c r="AM54" s="33">
        <v>0.24110000000000001</v>
      </c>
      <c r="AN54" s="33">
        <v>0.26579999999999998</v>
      </c>
      <c r="AO54" s="33">
        <v>0.22320000000000001</v>
      </c>
      <c r="AP54" s="21"/>
      <c r="AR54" s="22"/>
    </row>
    <row r="55" spans="1:44">
      <c r="A55" s="29" t="s">
        <v>102</v>
      </c>
      <c r="B55" s="10">
        <v>2</v>
      </c>
      <c r="C55" s="29" t="s">
        <v>85</v>
      </c>
      <c r="D55" s="30">
        <v>598373.4</v>
      </c>
      <c r="E55" s="30">
        <v>5853567</v>
      </c>
      <c r="F55" s="31">
        <v>26.4</v>
      </c>
      <c r="H55" s="29" t="s">
        <v>116</v>
      </c>
      <c r="I55" s="27" t="s">
        <v>63</v>
      </c>
      <c r="J55" s="31">
        <v>3.03</v>
      </c>
      <c r="K55" s="31">
        <v>3.75</v>
      </c>
      <c r="L55" s="17">
        <f>F55+J55</f>
        <v>29.43</v>
      </c>
      <c r="M55" s="16">
        <f>F55+K55</f>
        <v>30.15</v>
      </c>
      <c r="N55" s="12">
        <f>(L55+M55)/2</f>
        <v>29.79</v>
      </c>
      <c r="O55" s="11">
        <f>ROUND(N55,0)</f>
        <v>30</v>
      </c>
      <c r="P55" s="13">
        <v>3</v>
      </c>
      <c r="Q55" s="13">
        <f>K55</f>
        <v>3.75</v>
      </c>
      <c r="R55" s="13">
        <f>P55+F55</f>
        <v>29.4</v>
      </c>
      <c r="S55" s="13">
        <f>F55+Q55</f>
        <v>30.15</v>
      </c>
      <c r="T55" s="13">
        <f>(R55+S55)/2</f>
        <v>29.774999999999999</v>
      </c>
      <c r="U55" s="14">
        <f>ROUND(T55,0)</f>
        <v>30</v>
      </c>
      <c r="W55" s="34">
        <v>0.66</v>
      </c>
      <c r="X55" s="31">
        <v>98.48</v>
      </c>
      <c r="Y55" s="31">
        <v>0.86</v>
      </c>
      <c r="Z55" s="31">
        <v>0.51</v>
      </c>
      <c r="AA55" s="31">
        <v>0.32</v>
      </c>
      <c r="AB55" s="34">
        <v>0.86</v>
      </c>
      <c r="AC55" s="31">
        <v>0.67</v>
      </c>
      <c r="AD55" s="32">
        <v>1.804</v>
      </c>
      <c r="AE55" s="33">
        <v>0.18110000000000001</v>
      </c>
      <c r="AF55" s="33">
        <v>0.19450000000000001</v>
      </c>
      <c r="AG55" s="33">
        <v>0.2964</v>
      </c>
      <c r="AH55" s="33">
        <v>0.32669999999999999</v>
      </c>
      <c r="AI55" s="33">
        <v>0.36470000000000002</v>
      </c>
      <c r="AJ55" s="32">
        <v>1.788</v>
      </c>
      <c r="AK55" s="33">
        <v>0.1825</v>
      </c>
      <c r="AL55" s="33">
        <v>0.19589999999999999</v>
      </c>
      <c r="AM55" s="33">
        <v>0.32629999999999998</v>
      </c>
      <c r="AN55" s="33">
        <v>0.36299999999999999</v>
      </c>
      <c r="AO55" s="33">
        <v>0.2964</v>
      </c>
      <c r="AP55" s="21"/>
      <c r="AR55" s="22"/>
    </row>
    <row r="56" spans="1:44">
      <c r="A56" s="29" t="s">
        <v>102</v>
      </c>
      <c r="B56" s="10">
        <v>2</v>
      </c>
      <c r="C56" s="29" t="s">
        <v>85</v>
      </c>
      <c r="D56" s="30">
        <v>598373.4</v>
      </c>
      <c r="E56" s="30">
        <v>5853567</v>
      </c>
      <c r="F56" s="31">
        <v>26.4</v>
      </c>
      <c r="H56" s="29" t="s">
        <v>115</v>
      </c>
      <c r="I56" s="27" t="s">
        <v>61</v>
      </c>
      <c r="J56" s="31">
        <v>5</v>
      </c>
      <c r="K56" s="31">
        <v>5.3</v>
      </c>
      <c r="L56" s="17">
        <f>F56+J56</f>
        <v>31.4</v>
      </c>
      <c r="M56" s="16">
        <f>F56+K56</f>
        <v>31.7</v>
      </c>
      <c r="N56" s="12">
        <f>(L56+M56)/2</f>
        <v>31.549999999999997</v>
      </c>
      <c r="O56" s="11">
        <f>ROUND(N56,0)</f>
        <v>32</v>
      </c>
      <c r="P56" s="13">
        <v>3.75</v>
      </c>
      <c r="Q56" s="13">
        <f>K56</f>
        <v>5.3</v>
      </c>
      <c r="R56" s="13">
        <f>P56+F56</f>
        <v>30.15</v>
      </c>
      <c r="S56" s="13">
        <f>F56+Q56</f>
        <v>31.7</v>
      </c>
      <c r="T56" s="13">
        <f>(R56+S56)/2</f>
        <v>30.924999999999997</v>
      </c>
      <c r="U56" s="14">
        <f>ROUND(T56,0)</f>
        <v>31</v>
      </c>
      <c r="W56" s="34">
        <v>0</v>
      </c>
      <c r="X56" s="31">
        <v>98.5</v>
      </c>
      <c r="Y56" s="31">
        <v>1.5</v>
      </c>
      <c r="Z56" s="31">
        <v>1.32</v>
      </c>
      <c r="AA56" s="31">
        <v>0.76</v>
      </c>
      <c r="AB56" s="34">
        <v>1.5</v>
      </c>
      <c r="AC56" s="31">
        <v>0.93</v>
      </c>
      <c r="AD56" s="32">
        <v>1.9198</v>
      </c>
      <c r="AE56" s="33">
        <v>0.16309999999999999</v>
      </c>
      <c r="AF56" s="33">
        <v>0.1943</v>
      </c>
      <c r="AG56" s="33">
        <v>0.29360000000000003</v>
      </c>
      <c r="AH56" s="33">
        <v>0.31309999999999999</v>
      </c>
      <c r="AI56" s="33">
        <v>0.33400000000000002</v>
      </c>
      <c r="AJ56" s="32">
        <v>1.8441000000000001</v>
      </c>
      <c r="AK56" s="33">
        <v>0.17019999999999999</v>
      </c>
      <c r="AL56" s="33">
        <v>0.19819999999999999</v>
      </c>
      <c r="AM56" s="33">
        <v>0.31390000000000001</v>
      </c>
      <c r="AN56" s="33">
        <v>0.33460000000000001</v>
      </c>
      <c r="AO56" s="33">
        <v>0.29449999999999998</v>
      </c>
      <c r="AP56" s="21"/>
      <c r="AR56" s="22"/>
    </row>
    <row r="57" spans="1:44">
      <c r="A57" s="29" t="s">
        <v>103</v>
      </c>
      <c r="B57" s="10">
        <v>2</v>
      </c>
      <c r="C57" s="29" t="s">
        <v>86</v>
      </c>
      <c r="D57" s="30">
        <v>598807.5</v>
      </c>
      <c r="E57" s="30">
        <v>5853712.7000000002</v>
      </c>
      <c r="F57" s="31">
        <v>24.4</v>
      </c>
      <c r="H57" s="29" t="s">
        <v>111</v>
      </c>
      <c r="I57" s="27" t="s">
        <v>58</v>
      </c>
      <c r="J57" s="31">
        <v>0.2</v>
      </c>
      <c r="K57" s="31">
        <v>0.92</v>
      </c>
      <c r="L57" s="17">
        <f>F57+J57</f>
        <v>24.599999999999998</v>
      </c>
      <c r="M57" s="16">
        <f>F57+K57</f>
        <v>25.32</v>
      </c>
      <c r="N57" s="12">
        <f>(L57+M57)/2</f>
        <v>24.96</v>
      </c>
      <c r="O57" s="11">
        <f>ROUND(N57,0)</f>
        <v>25</v>
      </c>
      <c r="P57" s="13">
        <v>0</v>
      </c>
      <c r="Q57" s="13">
        <f>K57</f>
        <v>0.92</v>
      </c>
      <c r="R57" s="13">
        <f>P57+F57</f>
        <v>24.4</v>
      </c>
      <c r="S57" s="13">
        <f>F57+Q57</f>
        <v>25.32</v>
      </c>
      <c r="T57" s="13">
        <f>(R57+S57)/2</f>
        <v>24.86</v>
      </c>
      <c r="U57" s="14">
        <f>ROUND(T57,0)</f>
        <v>25</v>
      </c>
      <c r="W57" s="34">
        <v>0.61</v>
      </c>
      <c r="X57" s="31">
        <v>98.01</v>
      </c>
      <c r="Y57" s="31">
        <v>1.38</v>
      </c>
      <c r="Z57" s="31">
        <v>0.95</v>
      </c>
      <c r="AA57" s="31">
        <v>0.7</v>
      </c>
      <c r="AB57" s="34">
        <v>1.38</v>
      </c>
      <c r="AC57" s="31">
        <v>1.1299999999999999</v>
      </c>
      <c r="AD57" s="32">
        <v>1.9298999999999999</v>
      </c>
      <c r="AE57" s="33">
        <v>0.14000000000000001</v>
      </c>
      <c r="AF57" s="33">
        <v>0.15509999999999999</v>
      </c>
      <c r="AG57" s="33">
        <v>0.2374</v>
      </c>
      <c r="AH57" s="33">
        <v>0.2702</v>
      </c>
      <c r="AI57" s="33">
        <v>0.31719999999999998</v>
      </c>
      <c r="AJ57" s="32">
        <v>1.8951</v>
      </c>
      <c r="AK57" s="33">
        <v>0.14280000000000001</v>
      </c>
      <c r="AL57" s="33">
        <v>0.15790000000000001</v>
      </c>
      <c r="AM57" s="33">
        <v>0.27050000000000002</v>
      </c>
      <c r="AN57" s="33">
        <v>0.31680000000000003</v>
      </c>
      <c r="AO57" s="33">
        <v>0.23810000000000001</v>
      </c>
      <c r="AP57" s="21"/>
      <c r="AR57" s="22"/>
    </row>
    <row r="58" spans="1:44">
      <c r="A58" s="29" t="s">
        <v>103</v>
      </c>
      <c r="B58" s="10">
        <v>2</v>
      </c>
      <c r="C58" s="29" t="s">
        <v>86</v>
      </c>
      <c r="D58" s="30">
        <v>598807.5</v>
      </c>
      <c r="E58" s="30">
        <v>5853712.7000000002</v>
      </c>
      <c r="F58" s="31">
        <v>24.4</v>
      </c>
      <c r="H58" s="29" t="s">
        <v>111</v>
      </c>
      <c r="I58" s="27" t="s">
        <v>58</v>
      </c>
      <c r="J58" s="31">
        <v>0.92</v>
      </c>
      <c r="K58" s="31">
        <v>1</v>
      </c>
      <c r="L58" s="17">
        <f>F58+J58</f>
        <v>25.32</v>
      </c>
      <c r="M58" s="16">
        <f>F58+K58</f>
        <v>25.4</v>
      </c>
      <c r="N58" s="12">
        <f>(L58+M58)/2</f>
        <v>25.36</v>
      </c>
      <c r="O58" s="11">
        <f>ROUND(N58,0)</f>
        <v>25</v>
      </c>
      <c r="P58" s="13">
        <f>J58</f>
        <v>0.92</v>
      </c>
      <c r="Q58" s="13">
        <f>K58</f>
        <v>1</v>
      </c>
      <c r="R58" s="13">
        <f>P58+F58</f>
        <v>25.32</v>
      </c>
      <c r="S58" s="13">
        <f>F58+Q58</f>
        <v>25.4</v>
      </c>
      <c r="T58" s="13">
        <f>(R58+S58)/2</f>
        <v>25.36</v>
      </c>
      <c r="U58" s="14">
        <f>ROUND(T58,0)</f>
        <v>25</v>
      </c>
      <c r="W58" s="34">
        <v>0.54</v>
      </c>
      <c r="X58" s="31">
        <v>96.49</v>
      </c>
      <c r="Y58" s="31">
        <v>2.97</v>
      </c>
      <c r="Z58" s="31">
        <v>2.46</v>
      </c>
      <c r="AA58" s="31">
        <v>1.84</v>
      </c>
      <c r="AB58" s="34">
        <v>2.97</v>
      </c>
      <c r="AC58" s="31">
        <v>2.35</v>
      </c>
      <c r="AD58" s="32">
        <v>1.8677999999999999</v>
      </c>
      <c r="AE58" s="33">
        <v>0.11020000000000001</v>
      </c>
      <c r="AF58" s="33">
        <v>0.12790000000000001</v>
      </c>
      <c r="AG58" s="33">
        <v>0.1825</v>
      </c>
      <c r="AH58" s="33">
        <v>0.2059</v>
      </c>
      <c r="AI58" s="33">
        <v>0.23230000000000001</v>
      </c>
      <c r="AJ58" s="32">
        <v>1.7117</v>
      </c>
      <c r="AK58" s="33">
        <v>0.1212</v>
      </c>
      <c r="AL58" s="33">
        <v>0.13039999999999999</v>
      </c>
      <c r="AM58" s="33">
        <v>0.2074</v>
      </c>
      <c r="AN58" s="33">
        <v>0.23319999999999999</v>
      </c>
      <c r="AO58" s="33">
        <v>0.1845</v>
      </c>
      <c r="AP58" s="21"/>
      <c r="AR58" s="22"/>
    </row>
    <row r="59" spans="1:44">
      <c r="A59" s="29" t="s">
        <v>103</v>
      </c>
      <c r="B59" s="10">
        <v>2</v>
      </c>
      <c r="C59" s="29" t="s">
        <v>86</v>
      </c>
      <c r="D59" s="30">
        <v>598807.5</v>
      </c>
      <c r="E59" s="30">
        <v>5853712.7000000002</v>
      </c>
      <c r="F59" s="31">
        <v>24.4</v>
      </c>
      <c r="H59" s="29" t="s">
        <v>112</v>
      </c>
      <c r="I59" s="27" t="s">
        <v>59</v>
      </c>
      <c r="J59" s="31">
        <v>1.1200000000000001</v>
      </c>
      <c r="K59" s="31">
        <v>2</v>
      </c>
      <c r="L59" s="17">
        <f>F59+J59</f>
        <v>25.52</v>
      </c>
      <c r="M59" s="16">
        <f>F59+K59</f>
        <v>26.4</v>
      </c>
      <c r="N59" s="12">
        <f>(L59+M59)/2</f>
        <v>25.96</v>
      </c>
      <c r="O59" s="11">
        <f>ROUND(N59,0)</f>
        <v>26</v>
      </c>
      <c r="P59" s="13">
        <v>1</v>
      </c>
      <c r="Q59" s="13">
        <f>K59</f>
        <v>2</v>
      </c>
      <c r="R59" s="13">
        <f>P59+F59</f>
        <v>25.4</v>
      </c>
      <c r="S59" s="13">
        <f>F59+Q59</f>
        <v>26.4</v>
      </c>
      <c r="T59" s="13">
        <f>(R59+S59)/2</f>
        <v>25.9</v>
      </c>
      <c r="U59" s="14">
        <f>ROUND(T59,0)</f>
        <v>26</v>
      </c>
      <c r="W59" s="34">
        <v>0.04</v>
      </c>
      <c r="X59" s="31">
        <v>96.68</v>
      </c>
      <c r="Y59" s="31">
        <v>3.28</v>
      </c>
      <c r="Z59" s="31">
        <v>2.58</v>
      </c>
      <c r="AA59" s="31">
        <v>2.0299999999999998</v>
      </c>
      <c r="AB59" s="34">
        <v>3.28</v>
      </c>
      <c r="AC59" s="31">
        <v>2.73</v>
      </c>
      <c r="AD59" s="32">
        <v>1.6314</v>
      </c>
      <c r="AE59" s="33">
        <v>9.5100000000000004E-2</v>
      </c>
      <c r="AF59" s="33">
        <v>0.10680000000000001</v>
      </c>
      <c r="AG59" s="33">
        <v>0.14660000000000001</v>
      </c>
      <c r="AH59" s="33">
        <v>0.1552</v>
      </c>
      <c r="AI59" s="33">
        <v>0.16420000000000001</v>
      </c>
      <c r="AJ59" s="32">
        <v>1.5508</v>
      </c>
      <c r="AK59" s="33">
        <v>0.1007</v>
      </c>
      <c r="AL59" s="33">
        <v>0.11260000000000001</v>
      </c>
      <c r="AM59" s="33">
        <v>0.15609999999999999</v>
      </c>
      <c r="AN59" s="33">
        <v>0.16489999999999999</v>
      </c>
      <c r="AO59" s="33">
        <v>0.1477</v>
      </c>
      <c r="AP59" s="21"/>
      <c r="AR59" s="22"/>
    </row>
    <row r="60" spans="1:44">
      <c r="A60" s="29" t="s">
        <v>103</v>
      </c>
      <c r="B60" s="10">
        <v>2</v>
      </c>
      <c r="C60" s="29" t="s">
        <v>86</v>
      </c>
      <c r="D60" s="30">
        <v>598807.5</v>
      </c>
      <c r="E60" s="30">
        <v>5853712.7000000002</v>
      </c>
      <c r="F60" s="31">
        <v>24.4</v>
      </c>
      <c r="H60" s="29" t="s">
        <v>113</v>
      </c>
      <c r="I60" s="27" t="s">
        <v>60</v>
      </c>
      <c r="J60" s="31">
        <v>2.0699999999999998</v>
      </c>
      <c r="K60" s="31">
        <v>3</v>
      </c>
      <c r="L60" s="17">
        <f>F60+J60</f>
        <v>26.47</v>
      </c>
      <c r="M60" s="16">
        <f>F60+K60</f>
        <v>27.4</v>
      </c>
      <c r="N60" s="12">
        <f>(L60+M60)/2</f>
        <v>26.934999999999999</v>
      </c>
      <c r="O60" s="11">
        <f>ROUND(N60,0)</f>
        <v>27</v>
      </c>
      <c r="P60" s="13">
        <v>2</v>
      </c>
      <c r="Q60" s="13">
        <f>K60</f>
        <v>3</v>
      </c>
      <c r="R60" s="13">
        <f>P60+F60</f>
        <v>26.4</v>
      </c>
      <c r="S60" s="13">
        <f>F60+Q60</f>
        <v>27.4</v>
      </c>
      <c r="T60" s="13">
        <f>(R60+S60)/2</f>
        <v>26.9</v>
      </c>
      <c r="U60" s="14">
        <f>ROUND(T60,0)</f>
        <v>27</v>
      </c>
      <c r="W60" s="34">
        <v>0</v>
      </c>
      <c r="X60" s="31">
        <v>97.04</v>
      </c>
      <c r="Y60" s="31">
        <v>2.96</v>
      </c>
      <c r="Z60" s="31">
        <v>2.42</v>
      </c>
      <c r="AA60" s="31">
        <v>1.84</v>
      </c>
      <c r="AB60" s="34">
        <v>2.96</v>
      </c>
      <c r="AC60" s="31">
        <v>2.38</v>
      </c>
      <c r="AD60" s="32">
        <v>1.5976999999999999</v>
      </c>
      <c r="AE60" s="33">
        <v>9.7799999999999998E-2</v>
      </c>
      <c r="AF60" s="33">
        <v>0.1119</v>
      </c>
      <c r="AG60" s="33">
        <v>0.14799999999999999</v>
      </c>
      <c r="AH60" s="33">
        <v>0.15629999999999999</v>
      </c>
      <c r="AI60" s="33">
        <v>0.16500000000000001</v>
      </c>
      <c r="AJ60" s="32">
        <v>1.516</v>
      </c>
      <c r="AK60" s="33">
        <v>0.1036</v>
      </c>
      <c r="AL60" s="33">
        <v>0.1182</v>
      </c>
      <c r="AM60" s="33">
        <v>0.15709999999999999</v>
      </c>
      <c r="AN60" s="33">
        <v>0.16569999999999999</v>
      </c>
      <c r="AO60" s="33">
        <v>0.1489</v>
      </c>
      <c r="AP60" s="21"/>
      <c r="AR60" s="22"/>
    </row>
    <row r="61" spans="1:44">
      <c r="A61" s="29" t="s">
        <v>103</v>
      </c>
      <c r="B61" s="10">
        <v>2</v>
      </c>
      <c r="C61" s="29" t="s">
        <v>86</v>
      </c>
      <c r="D61" s="30">
        <v>598807.5</v>
      </c>
      <c r="E61" s="30">
        <v>5853712.7000000002</v>
      </c>
      <c r="F61" s="31">
        <v>24.4</v>
      </c>
      <c r="H61" s="29" t="s">
        <v>116</v>
      </c>
      <c r="I61" s="27" t="s">
        <v>61</v>
      </c>
      <c r="J61" s="31">
        <v>3.05</v>
      </c>
      <c r="K61" s="31">
        <v>4</v>
      </c>
      <c r="L61" s="17">
        <f>F61+J61</f>
        <v>27.45</v>
      </c>
      <c r="M61" s="16">
        <f>F61+K61</f>
        <v>28.4</v>
      </c>
      <c r="N61" s="12">
        <f>(L61+M61)/2</f>
        <v>27.924999999999997</v>
      </c>
      <c r="O61" s="11">
        <f>ROUND(N61,0)</f>
        <v>28</v>
      </c>
      <c r="P61" s="13">
        <v>3</v>
      </c>
      <c r="Q61" s="13">
        <v>4.5199999999999996</v>
      </c>
      <c r="R61" s="13">
        <f>P61+F61</f>
        <v>27.4</v>
      </c>
      <c r="S61" s="13">
        <f>F61+Q61</f>
        <v>28.919999999999998</v>
      </c>
      <c r="T61" s="13">
        <f>(R61+S61)/2</f>
        <v>28.159999999999997</v>
      </c>
      <c r="U61" s="14">
        <f>ROUND(T61,0)</f>
        <v>28</v>
      </c>
      <c r="W61" s="34">
        <v>0</v>
      </c>
      <c r="X61" s="31">
        <v>96.05</v>
      </c>
      <c r="Y61" s="31">
        <v>3.95</v>
      </c>
      <c r="Z61" s="31">
        <v>3.11</v>
      </c>
      <c r="AA61" s="31">
        <v>2.57</v>
      </c>
      <c r="AB61" s="34">
        <v>3.95</v>
      </c>
      <c r="AC61" s="31">
        <v>3.41</v>
      </c>
      <c r="AD61" s="32">
        <v>1.7107000000000001</v>
      </c>
      <c r="AE61" s="33">
        <v>9.2499999999999999E-2</v>
      </c>
      <c r="AF61" s="33">
        <v>0.10730000000000001</v>
      </c>
      <c r="AG61" s="33">
        <v>0.1492</v>
      </c>
      <c r="AH61" s="33">
        <v>0.1583</v>
      </c>
      <c r="AI61" s="33">
        <v>0.16789999999999999</v>
      </c>
      <c r="AJ61" s="32">
        <v>1.5749</v>
      </c>
      <c r="AK61" s="33">
        <v>0.1013</v>
      </c>
      <c r="AL61" s="33">
        <v>0.1169</v>
      </c>
      <c r="AM61" s="33">
        <v>0.15959999999999999</v>
      </c>
      <c r="AN61" s="33">
        <v>0.16900000000000001</v>
      </c>
      <c r="AO61" s="33">
        <v>0.1507</v>
      </c>
      <c r="AP61" s="21"/>
      <c r="AR61" s="22"/>
    </row>
    <row r="62" spans="1:44">
      <c r="A62" s="29" t="s">
        <v>103</v>
      </c>
      <c r="B62" s="10">
        <v>2</v>
      </c>
      <c r="C62" s="29" t="s">
        <v>86</v>
      </c>
      <c r="D62" s="30">
        <v>598807.5</v>
      </c>
      <c r="E62" s="30">
        <v>5853712.7000000002</v>
      </c>
      <c r="F62" s="31">
        <v>24.4</v>
      </c>
      <c r="H62" s="29" t="s">
        <v>117</v>
      </c>
      <c r="I62" s="27" t="s">
        <v>62</v>
      </c>
      <c r="J62" s="31">
        <v>4.5199999999999996</v>
      </c>
      <c r="K62" s="31">
        <v>5</v>
      </c>
      <c r="L62" s="17">
        <f>F62+J62</f>
        <v>28.919999999999998</v>
      </c>
      <c r="M62" s="16">
        <f>F62+K62</f>
        <v>29.4</v>
      </c>
      <c r="N62" s="12">
        <f>(L62+M62)/2</f>
        <v>29.159999999999997</v>
      </c>
      <c r="O62" s="11">
        <f>ROUND(N62,0)</f>
        <v>29</v>
      </c>
      <c r="P62" s="13">
        <f>J62</f>
        <v>4.5199999999999996</v>
      </c>
      <c r="Q62" s="13">
        <v>5.55</v>
      </c>
      <c r="R62" s="13">
        <f>P62+F62</f>
        <v>28.919999999999998</v>
      </c>
      <c r="S62" s="13">
        <f>F62+Q62</f>
        <v>29.95</v>
      </c>
      <c r="T62" s="13">
        <f>(R62+S62)/2</f>
        <v>29.434999999999999</v>
      </c>
      <c r="U62" s="14">
        <f>ROUND(T62,0)</f>
        <v>29</v>
      </c>
      <c r="W62" s="34">
        <v>0.56999999999999995</v>
      </c>
      <c r="X62" s="31">
        <v>98.18</v>
      </c>
      <c r="Y62" s="31">
        <v>1.25</v>
      </c>
      <c r="Z62" s="31">
        <v>1.07</v>
      </c>
      <c r="AA62" s="31">
        <v>0.81</v>
      </c>
      <c r="AB62" s="34">
        <v>1.25</v>
      </c>
      <c r="AC62" s="31">
        <v>0.99</v>
      </c>
      <c r="AD62" s="32">
        <v>2.9548999999999999</v>
      </c>
      <c r="AE62" s="33">
        <v>0.1537</v>
      </c>
      <c r="AF62" s="33">
        <v>0.1913</v>
      </c>
      <c r="AG62" s="33">
        <v>0.4088</v>
      </c>
      <c r="AH62" s="33">
        <v>0.45419999999999999</v>
      </c>
      <c r="AI62" s="33">
        <v>0.50819999999999999</v>
      </c>
      <c r="AJ62" s="32">
        <v>2.8597000000000001</v>
      </c>
      <c r="AK62" s="33">
        <v>0.15890000000000001</v>
      </c>
      <c r="AL62" s="33">
        <v>0.2</v>
      </c>
      <c r="AM62" s="33">
        <v>0.45450000000000002</v>
      </c>
      <c r="AN62" s="33">
        <v>0.50719999999999998</v>
      </c>
      <c r="AO62" s="33">
        <v>0.40970000000000001</v>
      </c>
      <c r="AP62" s="21"/>
      <c r="AR62" s="22"/>
    </row>
    <row r="63" spans="1:44">
      <c r="A63" s="29" t="s">
        <v>104</v>
      </c>
      <c r="B63" s="10">
        <v>2</v>
      </c>
      <c r="C63" s="29" t="s">
        <v>87</v>
      </c>
      <c r="D63" s="30">
        <v>597974</v>
      </c>
      <c r="E63" s="30">
        <v>5851474</v>
      </c>
      <c r="F63" s="31">
        <v>24.2</v>
      </c>
      <c r="G63" s="24"/>
      <c r="H63" s="29" t="s">
        <v>111</v>
      </c>
      <c r="I63" s="27" t="s">
        <v>65</v>
      </c>
      <c r="J63" s="31">
        <v>0.13</v>
      </c>
      <c r="K63" s="31">
        <v>0.6</v>
      </c>
      <c r="L63" s="17">
        <f>F63+J63</f>
        <v>24.33</v>
      </c>
      <c r="M63" s="16">
        <f>F63+K63</f>
        <v>24.8</v>
      </c>
      <c r="N63" s="12">
        <f>(L63+M63)/2</f>
        <v>24.564999999999998</v>
      </c>
      <c r="O63" s="11">
        <f>ROUND(N63,0)</f>
        <v>25</v>
      </c>
      <c r="P63" s="13">
        <v>0</v>
      </c>
      <c r="Q63" s="13">
        <f>K63</f>
        <v>0.6</v>
      </c>
      <c r="R63" s="13">
        <f>P63+F63</f>
        <v>24.2</v>
      </c>
      <c r="S63" s="13">
        <f>F63+Q63</f>
        <v>24.8</v>
      </c>
      <c r="T63" s="13">
        <f>(R63+S63)/2</f>
        <v>24.5</v>
      </c>
      <c r="U63" s="14">
        <f>ROUND(T63,0)</f>
        <v>25</v>
      </c>
      <c r="W63" s="34">
        <v>0.15</v>
      </c>
      <c r="X63" s="31">
        <v>98.79</v>
      </c>
      <c r="Y63" s="31">
        <v>1.05</v>
      </c>
      <c r="Z63" s="31">
        <v>0.82</v>
      </c>
      <c r="AA63" s="31">
        <v>0.48</v>
      </c>
      <c r="AB63" s="34">
        <v>1.05</v>
      </c>
      <c r="AC63" s="31">
        <v>0.71</v>
      </c>
      <c r="AD63" s="32">
        <v>1.5786</v>
      </c>
      <c r="AE63" s="33">
        <v>0.14580000000000001</v>
      </c>
      <c r="AF63" s="33">
        <v>0.16170000000000001</v>
      </c>
      <c r="AG63" s="33">
        <v>0.21640000000000001</v>
      </c>
      <c r="AH63" s="33">
        <v>0.23019999999999999</v>
      </c>
      <c r="AI63" s="33">
        <v>0.24490000000000001</v>
      </c>
      <c r="AJ63" s="32">
        <v>1.5602</v>
      </c>
      <c r="AK63" s="33">
        <v>0.1477</v>
      </c>
      <c r="AL63" s="33">
        <v>0.16370000000000001</v>
      </c>
      <c r="AM63" s="33">
        <v>0.23050000000000001</v>
      </c>
      <c r="AN63" s="33">
        <v>0.245</v>
      </c>
      <c r="AO63" s="33">
        <v>0.21679999999999999</v>
      </c>
      <c r="AP63" s="21"/>
      <c r="AR63" s="22"/>
    </row>
    <row r="64" spans="1:44">
      <c r="A64" s="29" t="s">
        <v>104</v>
      </c>
      <c r="B64" s="10">
        <v>2</v>
      </c>
      <c r="C64" s="29" t="s">
        <v>87</v>
      </c>
      <c r="D64" s="30">
        <v>597974</v>
      </c>
      <c r="E64" s="30">
        <v>5851474</v>
      </c>
      <c r="F64" s="31">
        <v>24.2</v>
      </c>
      <c r="G64" s="16"/>
      <c r="H64" s="29" t="s">
        <v>111</v>
      </c>
      <c r="I64" s="27" t="s">
        <v>58</v>
      </c>
      <c r="J64" s="31">
        <v>0.6</v>
      </c>
      <c r="K64" s="31">
        <v>1</v>
      </c>
      <c r="L64" s="17">
        <f>F64+J64</f>
        <v>24.8</v>
      </c>
      <c r="M64" s="16">
        <f>F64+K64</f>
        <v>25.2</v>
      </c>
      <c r="N64" s="12">
        <f>(L64+M64)/2</f>
        <v>25</v>
      </c>
      <c r="O64" s="11">
        <f>ROUND(N64,0)</f>
        <v>25</v>
      </c>
      <c r="P64" s="13">
        <f>J64</f>
        <v>0.6</v>
      </c>
      <c r="Q64" s="13">
        <f>K64</f>
        <v>1</v>
      </c>
      <c r="R64" s="13">
        <f>P64+F64</f>
        <v>24.8</v>
      </c>
      <c r="S64" s="13">
        <f>F64+Q64</f>
        <v>25.2</v>
      </c>
      <c r="T64" s="13">
        <f>(R64+S64)/2</f>
        <v>25</v>
      </c>
      <c r="U64" s="14">
        <f>ROUND(T64,0)</f>
        <v>25</v>
      </c>
      <c r="W64" s="34">
        <v>0.22</v>
      </c>
      <c r="X64" s="31">
        <v>98.28</v>
      </c>
      <c r="Y64" s="31">
        <v>1.5</v>
      </c>
      <c r="Z64" s="31">
        <v>1.28</v>
      </c>
      <c r="AA64" s="31">
        <v>0.72</v>
      </c>
      <c r="AB64" s="34">
        <v>1.5</v>
      </c>
      <c r="AC64" s="31">
        <v>0.95</v>
      </c>
      <c r="AD64" s="32">
        <v>1.5531999999999999</v>
      </c>
      <c r="AE64" s="33">
        <v>0.14530000000000001</v>
      </c>
      <c r="AF64" s="33">
        <v>0.16120000000000001</v>
      </c>
      <c r="AG64" s="33">
        <v>0.2132</v>
      </c>
      <c r="AH64" s="33">
        <v>0.22570000000000001</v>
      </c>
      <c r="AI64" s="33">
        <v>0.2389</v>
      </c>
      <c r="AJ64" s="32">
        <v>1.5288999999999999</v>
      </c>
      <c r="AK64" s="33">
        <v>0.14779999999999999</v>
      </c>
      <c r="AL64" s="33">
        <v>0.1638</v>
      </c>
      <c r="AM64" s="33">
        <v>0.22600000000000001</v>
      </c>
      <c r="AN64" s="33">
        <v>0.23910000000000001</v>
      </c>
      <c r="AO64" s="33">
        <v>0.21360000000000001</v>
      </c>
      <c r="AP64" s="21"/>
      <c r="AR64" s="22"/>
    </row>
    <row r="65" spans="1:44">
      <c r="A65" s="29" t="s">
        <v>104</v>
      </c>
      <c r="B65" s="10">
        <v>2</v>
      </c>
      <c r="C65" s="29" t="s">
        <v>87</v>
      </c>
      <c r="D65" s="30">
        <v>597974</v>
      </c>
      <c r="E65" s="30">
        <v>5851474</v>
      </c>
      <c r="F65" s="31">
        <v>24.2</v>
      </c>
      <c r="G65" s="16"/>
      <c r="H65" s="29" t="s">
        <v>112</v>
      </c>
      <c r="I65" s="27" t="s">
        <v>59</v>
      </c>
      <c r="J65" s="31">
        <v>1.61</v>
      </c>
      <c r="K65" s="31">
        <v>2</v>
      </c>
      <c r="L65" s="17">
        <f>F65+J65</f>
        <v>25.81</v>
      </c>
      <c r="M65" s="16">
        <f>F65+K65</f>
        <v>26.2</v>
      </c>
      <c r="N65" s="12">
        <f>(L65+M65)/2</f>
        <v>26.004999999999999</v>
      </c>
      <c r="O65" s="11">
        <f>ROUND(N65,0)</f>
        <v>26</v>
      </c>
      <c r="P65" s="13">
        <f>J65</f>
        <v>1.61</v>
      </c>
      <c r="Q65" s="13">
        <f>K65</f>
        <v>2</v>
      </c>
      <c r="R65" s="13">
        <f>P65+F65</f>
        <v>25.81</v>
      </c>
      <c r="S65" s="13">
        <f>F65+Q65</f>
        <v>26.2</v>
      </c>
      <c r="T65" s="13">
        <f>(R65+S65)/2</f>
        <v>26.004999999999999</v>
      </c>
      <c r="U65" s="14">
        <f>ROUND(T65,0)</f>
        <v>26</v>
      </c>
      <c r="W65" s="34">
        <v>0.77</v>
      </c>
      <c r="X65" s="31">
        <v>97.94</v>
      </c>
      <c r="Y65" s="31">
        <v>1.29</v>
      </c>
      <c r="Z65" s="31">
        <v>1.1499999999999999</v>
      </c>
      <c r="AA65" s="31">
        <v>0.64</v>
      </c>
      <c r="AB65" s="34">
        <v>1.29</v>
      </c>
      <c r="AC65" s="31">
        <v>0.78</v>
      </c>
      <c r="AD65" s="32">
        <v>1.6336999999999999</v>
      </c>
      <c r="AE65" s="33">
        <v>0.13800000000000001</v>
      </c>
      <c r="AF65" s="33">
        <v>0.14799999999999999</v>
      </c>
      <c r="AG65" s="33">
        <v>0.2097</v>
      </c>
      <c r="AH65" s="33">
        <v>0.22539999999999999</v>
      </c>
      <c r="AI65" s="33">
        <v>0.2424</v>
      </c>
      <c r="AJ65" s="32">
        <v>1.6175999999999999</v>
      </c>
      <c r="AK65" s="33">
        <v>0.13919999999999999</v>
      </c>
      <c r="AL65" s="33">
        <v>0.1492</v>
      </c>
      <c r="AM65" s="33">
        <v>0.22520000000000001</v>
      </c>
      <c r="AN65" s="33">
        <v>0.24179999999999999</v>
      </c>
      <c r="AO65" s="33">
        <v>0.2097</v>
      </c>
      <c r="AP65" s="21"/>
      <c r="AR65" s="22"/>
    </row>
    <row r="66" spans="1:44">
      <c r="A66" s="29" t="s">
        <v>104</v>
      </c>
      <c r="B66" s="10">
        <v>2</v>
      </c>
      <c r="C66" s="29" t="s">
        <v>87</v>
      </c>
      <c r="D66" s="30">
        <v>597974</v>
      </c>
      <c r="E66" s="30">
        <v>5851474</v>
      </c>
      <c r="F66" s="31">
        <v>24.2</v>
      </c>
      <c r="H66" s="29" t="s">
        <v>113</v>
      </c>
      <c r="I66" s="27" t="s">
        <v>60</v>
      </c>
      <c r="J66" s="31">
        <v>2.15</v>
      </c>
      <c r="K66" s="31">
        <v>3</v>
      </c>
      <c r="L66" s="17">
        <f>F66+J66</f>
        <v>26.349999999999998</v>
      </c>
      <c r="M66" s="16">
        <f>F66+K66</f>
        <v>27.2</v>
      </c>
      <c r="N66" s="12">
        <f>(L66+M66)/2</f>
        <v>26.774999999999999</v>
      </c>
      <c r="O66" s="11">
        <f>ROUND(N66,0)</f>
        <v>27</v>
      </c>
      <c r="P66" s="13">
        <v>2</v>
      </c>
      <c r="Q66" s="13">
        <f>K66</f>
        <v>3</v>
      </c>
      <c r="R66" s="13">
        <f>P66+F66</f>
        <v>26.2</v>
      </c>
      <c r="S66" s="13">
        <f>F66+Q66</f>
        <v>27.2</v>
      </c>
      <c r="T66" s="13">
        <f>(R66+S66)/2</f>
        <v>26.7</v>
      </c>
      <c r="U66" s="14">
        <f>ROUND(T66,0)</f>
        <v>27</v>
      </c>
      <c r="W66" s="34">
        <v>0.05</v>
      </c>
      <c r="X66" s="31">
        <v>99.16</v>
      </c>
      <c r="Y66" s="31">
        <v>0.78</v>
      </c>
      <c r="Z66" s="31">
        <v>0.62</v>
      </c>
      <c r="AA66" s="31">
        <v>0.41</v>
      </c>
      <c r="AB66" s="34">
        <v>0.78</v>
      </c>
      <c r="AC66" s="31">
        <v>0.56999999999999995</v>
      </c>
      <c r="AD66" s="32">
        <v>2.056</v>
      </c>
      <c r="AE66" s="33">
        <v>0.14449999999999999</v>
      </c>
      <c r="AF66" s="33">
        <v>0.1636</v>
      </c>
      <c r="AG66" s="33">
        <v>0.27410000000000001</v>
      </c>
      <c r="AH66" s="33">
        <v>0.29699999999999999</v>
      </c>
      <c r="AI66" s="33">
        <v>0.32190000000000002</v>
      </c>
      <c r="AJ66" s="32">
        <v>2.0333999999999999</v>
      </c>
      <c r="AK66" s="33">
        <v>0.14630000000000001</v>
      </c>
      <c r="AL66" s="33">
        <v>0.16550000000000001</v>
      </c>
      <c r="AM66" s="33">
        <v>0.29749999999999999</v>
      </c>
      <c r="AN66" s="33">
        <v>0.32229999999999998</v>
      </c>
      <c r="AO66" s="33">
        <v>0.2747</v>
      </c>
      <c r="AP66" s="21"/>
      <c r="AR66" s="22"/>
    </row>
    <row r="67" spans="1:44">
      <c r="A67" s="29" t="s">
        <v>104</v>
      </c>
      <c r="B67" s="10">
        <v>2</v>
      </c>
      <c r="C67" s="29" t="s">
        <v>87</v>
      </c>
      <c r="D67" s="30">
        <v>597974</v>
      </c>
      <c r="E67" s="30">
        <v>5851474</v>
      </c>
      <c r="F67" s="31">
        <v>24.2</v>
      </c>
      <c r="H67" s="29" t="s">
        <v>116</v>
      </c>
      <c r="I67" s="27" t="s">
        <v>63</v>
      </c>
      <c r="J67" s="31">
        <v>3</v>
      </c>
      <c r="K67" s="31">
        <v>4</v>
      </c>
      <c r="L67" s="17">
        <f>F67+J67</f>
        <v>27.2</v>
      </c>
      <c r="M67" s="16">
        <f>F67+K67</f>
        <v>28.2</v>
      </c>
      <c r="N67" s="12">
        <f>(L67+M67)/2</f>
        <v>27.7</v>
      </c>
      <c r="O67" s="11">
        <f>ROUND(N67,0)</f>
        <v>28</v>
      </c>
      <c r="P67" s="13">
        <f>J67</f>
        <v>3</v>
      </c>
      <c r="Q67" s="13">
        <f>K67</f>
        <v>4</v>
      </c>
      <c r="R67" s="13">
        <f>P67+F67</f>
        <v>27.2</v>
      </c>
      <c r="S67" s="13">
        <f>F67+Q67</f>
        <v>28.2</v>
      </c>
      <c r="T67" s="13">
        <f>(R67+S67)/2</f>
        <v>27.7</v>
      </c>
      <c r="U67" s="14">
        <f>ROUND(T67,0)</f>
        <v>28</v>
      </c>
      <c r="W67" s="34">
        <v>0</v>
      </c>
      <c r="X67" s="31">
        <v>99.23</v>
      </c>
      <c r="Y67" s="31">
        <v>0.77</v>
      </c>
      <c r="Z67" s="31">
        <v>0.55000000000000004</v>
      </c>
      <c r="AA67" s="31">
        <v>0.3</v>
      </c>
      <c r="AB67" s="34">
        <v>0.77</v>
      </c>
      <c r="AC67" s="31">
        <v>0.52</v>
      </c>
      <c r="AD67" s="32">
        <v>1.8487</v>
      </c>
      <c r="AE67" s="33">
        <v>0.1633</v>
      </c>
      <c r="AF67" s="33">
        <v>0.18820000000000001</v>
      </c>
      <c r="AG67" s="33">
        <v>0.2833</v>
      </c>
      <c r="AH67" s="33">
        <v>0.3019</v>
      </c>
      <c r="AI67" s="33">
        <v>0.32169999999999999</v>
      </c>
      <c r="AJ67" s="32">
        <v>1.819</v>
      </c>
      <c r="AK67" s="33">
        <v>0.16619999999999999</v>
      </c>
      <c r="AL67" s="33">
        <v>0.1898</v>
      </c>
      <c r="AM67" s="33">
        <v>0.30230000000000001</v>
      </c>
      <c r="AN67" s="33">
        <v>0.32200000000000001</v>
      </c>
      <c r="AO67" s="33">
        <v>0.2838</v>
      </c>
      <c r="AP67" s="21"/>
      <c r="AR67" s="22"/>
    </row>
    <row r="68" spans="1:44">
      <c r="A68" s="29" t="s">
        <v>104</v>
      </c>
      <c r="B68" s="10">
        <v>2</v>
      </c>
      <c r="C68" s="29" t="s">
        <v>87</v>
      </c>
      <c r="D68" s="30">
        <v>597974</v>
      </c>
      <c r="E68" s="30">
        <v>5851474</v>
      </c>
      <c r="F68" s="31">
        <v>24.2</v>
      </c>
      <c r="H68" s="29" t="s">
        <v>115</v>
      </c>
      <c r="I68" s="27" t="s">
        <v>62</v>
      </c>
      <c r="J68" s="31">
        <v>5</v>
      </c>
      <c r="K68" s="31">
        <v>5.4</v>
      </c>
      <c r="L68" s="17">
        <f>F68+J68</f>
        <v>29.2</v>
      </c>
      <c r="M68" s="16">
        <f>F68+K68</f>
        <v>29.6</v>
      </c>
      <c r="N68" s="12">
        <f>(L68+M68)/2</f>
        <v>29.4</v>
      </c>
      <c r="O68" s="11">
        <f>ROUND(N68,0)</f>
        <v>29</v>
      </c>
      <c r="P68" s="13">
        <v>4</v>
      </c>
      <c r="Q68" s="13">
        <f>K68</f>
        <v>5.4</v>
      </c>
      <c r="R68" s="13">
        <f>P68+F68</f>
        <v>28.2</v>
      </c>
      <c r="S68" s="13">
        <f>F68+Q68</f>
        <v>29.6</v>
      </c>
      <c r="T68" s="13">
        <f>(R68+S68)/2</f>
        <v>28.9</v>
      </c>
      <c r="U68" s="14">
        <f>ROUND(T68,0)</f>
        <v>29</v>
      </c>
      <c r="W68" s="34">
        <v>0</v>
      </c>
      <c r="X68" s="31">
        <v>98.43</v>
      </c>
      <c r="Y68" s="31">
        <v>1.57</v>
      </c>
      <c r="Z68" s="31">
        <v>1.26</v>
      </c>
      <c r="AA68" s="31">
        <v>0.64</v>
      </c>
      <c r="AB68" s="34">
        <v>1.57</v>
      </c>
      <c r="AC68" s="31">
        <v>0.95</v>
      </c>
      <c r="AD68" s="32">
        <v>1.3443000000000001</v>
      </c>
      <c r="AE68" s="33">
        <v>0.1245</v>
      </c>
      <c r="AF68" s="33">
        <v>0.12859999999999999</v>
      </c>
      <c r="AG68" s="33">
        <v>0.15790000000000001</v>
      </c>
      <c r="AH68" s="33">
        <v>0.16739999999999999</v>
      </c>
      <c r="AI68" s="33">
        <v>0.17749999999999999</v>
      </c>
      <c r="AJ68" s="32">
        <v>1.3361000000000001</v>
      </c>
      <c r="AK68" s="33">
        <v>0.12559999999999999</v>
      </c>
      <c r="AL68" s="33">
        <v>0.1293</v>
      </c>
      <c r="AM68" s="33">
        <v>0.1678</v>
      </c>
      <c r="AN68" s="33">
        <v>0.17780000000000001</v>
      </c>
      <c r="AO68" s="33">
        <v>0.1583</v>
      </c>
      <c r="AP68" s="21"/>
      <c r="AR68" s="22"/>
    </row>
    <row r="69" spans="1:44">
      <c r="A69" s="29" t="s">
        <v>105</v>
      </c>
      <c r="B69" s="10">
        <v>2</v>
      </c>
      <c r="C69" s="29" t="s">
        <v>88</v>
      </c>
      <c r="D69" s="30">
        <v>598263.19999999995</v>
      </c>
      <c r="E69" s="30">
        <v>5851444.4000000004</v>
      </c>
      <c r="F69" s="31">
        <v>24</v>
      </c>
      <c r="H69" s="29" t="s">
        <v>111</v>
      </c>
      <c r="I69" s="27" t="s">
        <v>65</v>
      </c>
      <c r="J69" s="31">
        <v>0.1</v>
      </c>
      <c r="K69" s="31">
        <v>0.5</v>
      </c>
      <c r="L69" s="17">
        <f>F69+J69</f>
        <v>24.1</v>
      </c>
      <c r="M69" s="16">
        <f>F69+K69</f>
        <v>24.5</v>
      </c>
      <c r="N69" s="12">
        <f>(L69+M69)/2</f>
        <v>24.3</v>
      </c>
      <c r="O69" s="11">
        <f>ROUND(N69,0)</f>
        <v>24</v>
      </c>
      <c r="P69" s="13">
        <v>0</v>
      </c>
      <c r="Q69" s="13">
        <f>K69</f>
        <v>0.5</v>
      </c>
      <c r="R69" s="13">
        <f>P69+F69</f>
        <v>24</v>
      </c>
      <c r="S69" s="13">
        <f>F69+Q69</f>
        <v>24.5</v>
      </c>
      <c r="T69" s="13">
        <f>(R69+S69)/2</f>
        <v>24.25</v>
      </c>
      <c r="U69" s="14">
        <f>ROUND(T69,0)</f>
        <v>24</v>
      </c>
      <c r="W69" s="34">
        <v>0.55000000000000004</v>
      </c>
      <c r="X69" s="31">
        <v>98.58</v>
      </c>
      <c r="Y69" s="31">
        <v>0.87</v>
      </c>
      <c r="Z69" s="31">
        <v>0.56999999999999995</v>
      </c>
      <c r="AA69" s="31">
        <v>0.38</v>
      </c>
      <c r="AB69" s="34">
        <v>0.87</v>
      </c>
      <c r="AC69" s="31">
        <v>0.68</v>
      </c>
      <c r="AD69" s="32">
        <v>1.9490000000000001</v>
      </c>
      <c r="AE69" s="33">
        <v>0.14799999999999999</v>
      </c>
      <c r="AF69" s="33">
        <v>0.1666</v>
      </c>
      <c r="AG69" s="33">
        <v>0.25700000000000001</v>
      </c>
      <c r="AH69" s="33">
        <v>0.28839999999999999</v>
      </c>
      <c r="AI69" s="33">
        <v>0.32369999999999999</v>
      </c>
      <c r="AJ69" s="32">
        <v>1.9220999999999999</v>
      </c>
      <c r="AK69" s="33">
        <v>0.15</v>
      </c>
      <c r="AL69" s="33">
        <v>0.1686</v>
      </c>
      <c r="AM69" s="33">
        <v>0.28820000000000001</v>
      </c>
      <c r="AN69" s="33">
        <v>0.32300000000000001</v>
      </c>
      <c r="AO69" s="33">
        <v>0.25719999999999998</v>
      </c>
      <c r="AP69" s="21"/>
      <c r="AR69" s="22"/>
    </row>
    <row r="70" spans="1:44">
      <c r="A70" s="29" t="s">
        <v>105</v>
      </c>
      <c r="B70" s="10">
        <v>2</v>
      </c>
      <c r="C70" s="29" t="s">
        <v>88</v>
      </c>
      <c r="D70" s="30">
        <v>598263.19999999995</v>
      </c>
      <c r="E70" s="30">
        <v>5851444.4000000004</v>
      </c>
      <c r="F70" s="31">
        <v>24</v>
      </c>
      <c r="G70" s="16"/>
      <c r="H70" s="29" t="s">
        <v>111</v>
      </c>
      <c r="I70" s="27" t="s">
        <v>58</v>
      </c>
      <c r="J70" s="31">
        <v>0.5</v>
      </c>
      <c r="K70" s="31">
        <v>1</v>
      </c>
      <c r="L70" s="17">
        <f>F70+J70</f>
        <v>24.5</v>
      </c>
      <c r="M70" s="16">
        <f>F70+K70</f>
        <v>25</v>
      </c>
      <c r="N70" s="12">
        <f>(L70+M70)/2</f>
        <v>24.75</v>
      </c>
      <c r="O70" s="11">
        <f>ROUND(N70,0)</f>
        <v>25</v>
      </c>
      <c r="P70" s="13">
        <f>J70</f>
        <v>0.5</v>
      </c>
      <c r="Q70" s="13">
        <f>K70</f>
        <v>1</v>
      </c>
      <c r="R70" s="13">
        <f>P70+F70</f>
        <v>24.5</v>
      </c>
      <c r="S70" s="13">
        <f>F70+Q70</f>
        <v>25</v>
      </c>
      <c r="T70" s="13">
        <f>(R70+S70)/2</f>
        <v>24.75</v>
      </c>
      <c r="U70" s="14">
        <f>ROUND(T70,0)</f>
        <v>25</v>
      </c>
      <c r="W70" s="34">
        <v>0.3</v>
      </c>
      <c r="X70" s="31">
        <v>98.4</v>
      </c>
      <c r="Y70" s="31">
        <v>1.3</v>
      </c>
      <c r="Z70" s="31">
        <v>1</v>
      </c>
      <c r="AA70" s="31">
        <v>0.49</v>
      </c>
      <c r="AB70" s="34">
        <v>1.3</v>
      </c>
      <c r="AC70" s="31">
        <v>0.79</v>
      </c>
      <c r="AD70" s="32">
        <v>1.899</v>
      </c>
      <c r="AE70" s="33">
        <v>0.14760000000000001</v>
      </c>
      <c r="AF70" s="33">
        <v>0.16619999999999999</v>
      </c>
      <c r="AG70" s="33">
        <v>0.24959999999999999</v>
      </c>
      <c r="AH70" s="33">
        <v>0.28029999999999999</v>
      </c>
      <c r="AI70" s="33">
        <v>0.31490000000000001</v>
      </c>
      <c r="AJ70" s="32">
        <v>1.8714999999999999</v>
      </c>
      <c r="AK70" s="33">
        <v>0.15</v>
      </c>
      <c r="AL70" s="33">
        <v>0.16869999999999999</v>
      </c>
      <c r="AM70" s="33">
        <v>0.28079999999999999</v>
      </c>
      <c r="AN70" s="33">
        <v>0.315</v>
      </c>
      <c r="AO70" s="33">
        <v>0.25030000000000002</v>
      </c>
      <c r="AP70" s="21"/>
      <c r="AR70" s="22"/>
    </row>
    <row r="71" spans="1:44">
      <c r="A71" s="29" t="s">
        <v>105</v>
      </c>
      <c r="B71" s="10">
        <v>2</v>
      </c>
      <c r="C71" s="29" t="s">
        <v>88</v>
      </c>
      <c r="D71" s="30">
        <v>598263.19999999995</v>
      </c>
      <c r="E71" s="30">
        <v>5851444.4000000004</v>
      </c>
      <c r="F71" s="31">
        <v>24</v>
      </c>
      <c r="H71" s="29" t="s">
        <v>112</v>
      </c>
      <c r="I71" s="27" t="s">
        <v>59</v>
      </c>
      <c r="J71" s="31">
        <v>1.03</v>
      </c>
      <c r="K71" s="31">
        <v>1.5</v>
      </c>
      <c r="L71" s="17">
        <f>F71+J71</f>
        <v>25.03</v>
      </c>
      <c r="M71" s="16">
        <f>F71+K71</f>
        <v>25.5</v>
      </c>
      <c r="N71" s="12">
        <f>(L71+M71)/2</f>
        <v>25.265000000000001</v>
      </c>
      <c r="O71" s="11">
        <f>ROUND(N71,0)</f>
        <v>25</v>
      </c>
      <c r="P71" s="13">
        <v>1</v>
      </c>
      <c r="Q71" s="13">
        <f>K71</f>
        <v>1.5</v>
      </c>
      <c r="R71" s="13">
        <f>P71+F71</f>
        <v>25</v>
      </c>
      <c r="S71" s="13">
        <f>F71+Q71</f>
        <v>25.5</v>
      </c>
      <c r="T71" s="13">
        <f>(R71+S71)/2</f>
        <v>25.25</v>
      </c>
      <c r="U71" s="14">
        <f>ROUND(T71,0)</f>
        <v>25</v>
      </c>
      <c r="W71" s="34">
        <v>1.49</v>
      </c>
      <c r="X71" s="31">
        <v>97.76</v>
      </c>
      <c r="Y71" s="31">
        <v>0.76</v>
      </c>
      <c r="Z71" s="31">
        <v>0.48</v>
      </c>
      <c r="AA71" s="31">
        <v>0.41</v>
      </c>
      <c r="AB71" s="34">
        <v>0.76</v>
      </c>
      <c r="AC71" s="31">
        <v>0.68</v>
      </c>
      <c r="AD71" s="32">
        <v>1.9339</v>
      </c>
      <c r="AE71" s="33">
        <v>0.14849999999999999</v>
      </c>
      <c r="AF71" s="33">
        <v>0.16800000000000001</v>
      </c>
      <c r="AG71" s="33">
        <v>0.25480000000000003</v>
      </c>
      <c r="AH71" s="33">
        <v>0.28710000000000002</v>
      </c>
      <c r="AI71" s="33">
        <v>0.3236</v>
      </c>
      <c r="AJ71" s="32">
        <v>1.8976999999999999</v>
      </c>
      <c r="AK71" s="33">
        <v>0.1502</v>
      </c>
      <c r="AL71" s="33">
        <v>0.16950000000000001</v>
      </c>
      <c r="AM71" s="33">
        <v>0.28499999999999998</v>
      </c>
      <c r="AN71" s="33">
        <v>0.32029999999999997</v>
      </c>
      <c r="AO71" s="33">
        <v>0.25359999999999999</v>
      </c>
      <c r="AP71" s="21"/>
      <c r="AR71" s="22"/>
    </row>
    <row r="72" spans="1:44">
      <c r="A72" s="29" t="s">
        <v>105</v>
      </c>
      <c r="B72" s="10">
        <v>2</v>
      </c>
      <c r="C72" s="29" t="s">
        <v>88</v>
      </c>
      <c r="D72" s="30">
        <v>598263.19999999995</v>
      </c>
      <c r="E72" s="30">
        <v>5851444.4000000004</v>
      </c>
      <c r="F72" s="31">
        <v>24</v>
      </c>
      <c r="G72" s="16"/>
      <c r="H72" s="29" t="s">
        <v>113</v>
      </c>
      <c r="I72" s="27" t="s">
        <v>60</v>
      </c>
      <c r="J72" s="31">
        <v>2.0299999999999998</v>
      </c>
      <c r="K72" s="31">
        <v>3</v>
      </c>
      <c r="L72" s="17">
        <f>F72+J72</f>
        <v>26.03</v>
      </c>
      <c r="M72" s="16">
        <f>F72+K72</f>
        <v>27</v>
      </c>
      <c r="N72" s="12">
        <f>(L72+M72)/2</f>
        <v>26.515000000000001</v>
      </c>
      <c r="O72" s="11">
        <f>ROUND(N72,0)</f>
        <v>27</v>
      </c>
      <c r="P72" s="13">
        <v>1.5</v>
      </c>
      <c r="Q72" s="13">
        <f>K72</f>
        <v>3</v>
      </c>
      <c r="R72" s="13">
        <f>P72+F72</f>
        <v>25.5</v>
      </c>
      <c r="S72" s="13">
        <f>F72+Q72</f>
        <v>27</v>
      </c>
      <c r="T72" s="13">
        <f>(R72+S72)/2</f>
        <v>26.25</v>
      </c>
      <c r="U72" s="14">
        <f>ROUND(T72,0)</f>
        <v>26</v>
      </c>
      <c r="W72" s="34">
        <v>0.13</v>
      </c>
      <c r="X72" s="31">
        <v>99.27</v>
      </c>
      <c r="Y72" s="31">
        <v>0.6</v>
      </c>
      <c r="Z72" s="31">
        <v>0.42</v>
      </c>
      <c r="AA72" s="31">
        <v>0.31</v>
      </c>
      <c r="AB72" s="34">
        <v>0.6</v>
      </c>
      <c r="AC72" s="31">
        <v>0.49</v>
      </c>
      <c r="AD72" s="32">
        <v>1.7907999999999999</v>
      </c>
      <c r="AE72" s="33">
        <v>0.18029999999999999</v>
      </c>
      <c r="AF72" s="33">
        <v>0.19939999999999999</v>
      </c>
      <c r="AG72" s="33">
        <v>0.29930000000000001</v>
      </c>
      <c r="AH72" s="33">
        <v>0.32290000000000002</v>
      </c>
      <c r="AI72" s="33">
        <v>0.3483</v>
      </c>
      <c r="AJ72" s="32">
        <v>1.7769999999999999</v>
      </c>
      <c r="AK72" s="33">
        <v>0.18190000000000001</v>
      </c>
      <c r="AL72" s="33">
        <v>0.20100000000000001</v>
      </c>
      <c r="AM72" s="33">
        <v>0.3231</v>
      </c>
      <c r="AN72" s="33">
        <v>0.34839999999999999</v>
      </c>
      <c r="AO72" s="33">
        <v>0.29970000000000002</v>
      </c>
      <c r="AP72" s="21"/>
      <c r="AR72" s="22"/>
    </row>
    <row r="73" spans="1:44">
      <c r="A73" s="29" t="s">
        <v>105</v>
      </c>
      <c r="B73" s="10">
        <v>2</v>
      </c>
      <c r="C73" s="29" t="s">
        <v>88</v>
      </c>
      <c r="D73" s="30">
        <v>598263.19999999995</v>
      </c>
      <c r="E73" s="30">
        <v>5851444.4000000004</v>
      </c>
      <c r="F73" s="31">
        <v>24</v>
      </c>
      <c r="H73" s="29" t="s">
        <v>116</v>
      </c>
      <c r="I73" s="27" t="s">
        <v>63</v>
      </c>
      <c r="J73" s="31">
        <v>3.02</v>
      </c>
      <c r="K73" s="31">
        <v>4</v>
      </c>
      <c r="L73" s="17">
        <f>F73+J73</f>
        <v>27.02</v>
      </c>
      <c r="M73" s="16">
        <f>F73+K73</f>
        <v>28</v>
      </c>
      <c r="N73" s="12">
        <f>(L73+M73)/2</f>
        <v>27.509999999999998</v>
      </c>
      <c r="O73" s="11">
        <f>ROUND(N73,0)</f>
        <v>28</v>
      </c>
      <c r="P73" s="13">
        <v>3</v>
      </c>
      <c r="Q73" s="13">
        <f>K73</f>
        <v>4</v>
      </c>
      <c r="R73" s="13">
        <f>P73+F73</f>
        <v>27</v>
      </c>
      <c r="S73" s="13">
        <f>F73+Q73</f>
        <v>28</v>
      </c>
      <c r="T73" s="13">
        <f>(R73+S73)/2</f>
        <v>27.5</v>
      </c>
      <c r="U73" s="14">
        <f>ROUND(T73,0)</f>
        <v>28</v>
      </c>
      <c r="W73" s="34">
        <v>0.16</v>
      </c>
      <c r="X73" s="31">
        <v>99.28</v>
      </c>
      <c r="Y73" s="31">
        <v>0.56000000000000005</v>
      </c>
      <c r="Z73" s="31">
        <v>0.42</v>
      </c>
      <c r="AA73" s="31">
        <v>0.28999999999999998</v>
      </c>
      <c r="AB73" s="34">
        <v>0.56000000000000005</v>
      </c>
      <c r="AC73" s="31">
        <v>0.43</v>
      </c>
      <c r="AD73" s="32">
        <v>1.8893</v>
      </c>
      <c r="AE73" s="33">
        <v>0.16539999999999999</v>
      </c>
      <c r="AF73" s="33">
        <v>0.1903</v>
      </c>
      <c r="AG73" s="33">
        <v>0.2913</v>
      </c>
      <c r="AH73" s="33">
        <v>0.31240000000000001</v>
      </c>
      <c r="AI73" s="33">
        <v>0.33510000000000001</v>
      </c>
      <c r="AJ73" s="32">
        <v>1.8647</v>
      </c>
      <c r="AK73" s="33">
        <v>0.1676</v>
      </c>
      <c r="AL73" s="33">
        <v>0.19170000000000001</v>
      </c>
      <c r="AM73" s="33">
        <v>0.31259999999999999</v>
      </c>
      <c r="AN73" s="33">
        <v>0.3352</v>
      </c>
      <c r="AO73" s="33">
        <v>0.29160000000000003</v>
      </c>
    </row>
    <row r="74" spans="1:44">
      <c r="A74" s="29" t="s">
        <v>105</v>
      </c>
      <c r="B74" s="10">
        <v>2</v>
      </c>
      <c r="C74" s="29" t="s">
        <v>88</v>
      </c>
      <c r="D74" s="30">
        <v>598263.19999999995</v>
      </c>
      <c r="E74" s="30">
        <v>5851444.4000000004</v>
      </c>
      <c r="F74" s="31">
        <v>24</v>
      </c>
      <c r="H74" s="29" t="s">
        <v>117</v>
      </c>
      <c r="I74" s="27" t="s">
        <v>61</v>
      </c>
      <c r="J74" s="31">
        <v>4.03</v>
      </c>
      <c r="K74" s="31">
        <v>5</v>
      </c>
      <c r="L74" s="17">
        <f>F74+J74</f>
        <v>28.03</v>
      </c>
      <c r="M74" s="16">
        <f>F74+K74</f>
        <v>29</v>
      </c>
      <c r="N74" s="12">
        <f>(L74+M74)/2</f>
        <v>28.515000000000001</v>
      </c>
      <c r="O74" s="11">
        <f>ROUND(N74,0)</f>
        <v>29</v>
      </c>
      <c r="P74" s="13">
        <v>4</v>
      </c>
      <c r="Q74" s="13">
        <f>K74</f>
        <v>5</v>
      </c>
      <c r="R74" s="13">
        <f>P74+F74</f>
        <v>28</v>
      </c>
      <c r="S74" s="13">
        <f>F74+Q74</f>
        <v>29</v>
      </c>
      <c r="T74" s="13">
        <f>(R74+S74)/2</f>
        <v>28.5</v>
      </c>
      <c r="U74" s="14">
        <f>ROUND(T74,0)</f>
        <v>29</v>
      </c>
      <c r="W74" s="34">
        <v>0</v>
      </c>
      <c r="X74" s="31">
        <v>99.08</v>
      </c>
      <c r="Y74" s="31">
        <v>0.92</v>
      </c>
      <c r="Z74" s="31">
        <v>0.79</v>
      </c>
      <c r="AA74" s="31">
        <v>0.51</v>
      </c>
      <c r="AB74" s="34">
        <v>0.92</v>
      </c>
      <c r="AC74" s="31">
        <v>0.64</v>
      </c>
      <c r="AD74" s="32">
        <v>1.6277999999999999</v>
      </c>
      <c r="AE74" s="33">
        <v>0.1328</v>
      </c>
      <c r="AF74" s="33">
        <v>0.14080000000000001</v>
      </c>
      <c r="AG74" s="33">
        <v>0.20019999999999999</v>
      </c>
      <c r="AH74" s="33">
        <v>0.21609999999999999</v>
      </c>
      <c r="AI74" s="33">
        <v>0.23319999999999999</v>
      </c>
      <c r="AJ74" s="32">
        <v>1.6201000000000001</v>
      </c>
      <c r="AK74" s="33">
        <v>0.13370000000000001</v>
      </c>
      <c r="AL74" s="33">
        <v>0.1416</v>
      </c>
      <c r="AM74" s="33">
        <v>0.2165</v>
      </c>
      <c r="AN74" s="33">
        <v>0.2336</v>
      </c>
      <c r="AO74" s="33">
        <v>0.20069999999999999</v>
      </c>
    </row>
    <row r="75" spans="1:44">
      <c r="A75" s="29" t="s">
        <v>106</v>
      </c>
      <c r="B75" s="10">
        <v>2</v>
      </c>
      <c r="C75" s="29" t="s">
        <v>89</v>
      </c>
      <c r="D75" s="30">
        <v>598419.5</v>
      </c>
      <c r="E75" s="30">
        <v>5852792.0999999996</v>
      </c>
      <c r="F75" s="31">
        <v>29</v>
      </c>
      <c r="H75" s="29" t="s">
        <v>111</v>
      </c>
      <c r="I75" s="27" t="s">
        <v>65</v>
      </c>
      <c r="J75" s="31">
        <v>0.23</v>
      </c>
      <c r="K75" s="31">
        <v>0.6</v>
      </c>
      <c r="L75" s="17">
        <f>F75+J75</f>
        <v>29.23</v>
      </c>
      <c r="M75" s="16">
        <f>F75+K75</f>
        <v>29.6</v>
      </c>
      <c r="N75" s="12">
        <f>(L75+M75)/2</f>
        <v>29.414999999999999</v>
      </c>
      <c r="O75" s="11">
        <f>ROUND(N75,0)</f>
        <v>29</v>
      </c>
      <c r="P75" s="13">
        <v>0</v>
      </c>
      <c r="Q75" s="13">
        <f>K75</f>
        <v>0.6</v>
      </c>
      <c r="R75" s="13">
        <f>P75+F75</f>
        <v>29</v>
      </c>
      <c r="S75" s="13">
        <f>F75+Q75</f>
        <v>29.6</v>
      </c>
      <c r="T75" s="13">
        <f>(R75+S75)/2</f>
        <v>29.3</v>
      </c>
      <c r="U75" s="14">
        <f>ROUND(T75,0)</f>
        <v>29</v>
      </c>
      <c r="W75" s="34">
        <v>0.22</v>
      </c>
      <c r="X75" s="31">
        <v>99.36</v>
      </c>
      <c r="Y75" s="31">
        <v>0.42</v>
      </c>
      <c r="Z75" s="31">
        <v>0.3</v>
      </c>
      <c r="AA75" s="31">
        <v>0.24</v>
      </c>
      <c r="AB75" s="34">
        <v>0.42</v>
      </c>
      <c r="AC75" s="31">
        <v>0.37</v>
      </c>
      <c r="AD75" s="32">
        <v>3.2965</v>
      </c>
      <c r="AE75" s="33">
        <v>0.15659999999999999</v>
      </c>
      <c r="AF75" s="33">
        <v>0.1825</v>
      </c>
      <c r="AG75" s="33">
        <v>0.45419999999999999</v>
      </c>
      <c r="AH75" s="33">
        <v>0.5161</v>
      </c>
      <c r="AI75" s="33">
        <v>0.57809999999999995</v>
      </c>
      <c r="AJ75" s="32">
        <v>3.2664</v>
      </c>
      <c r="AK75" s="33">
        <v>0.158</v>
      </c>
      <c r="AL75" s="33">
        <v>0.1842</v>
      </c>
      <c r="AM75" s="33">
        <v>0.51619999999999999</v>
      </c>
      <c r="AN75" s="33">
        <v>0.57789999999999997</v>
      </c>
      <c r="AO75" s="33">
        <v>0.4546</v>
      </c>
    </row>
    <row r="76" spans="1:44">
      <c r="A76" s="29" t="s">
        <v>106</v>
      </c>
      <c r="B76" s="10">
        <v>2</v>
      </c>
      <c r="C76" s="29" t="s">
        <v>89</v>
      </c>
      <c r="D76" s="30">
        <v>598419.5</v>
      </c>
      <c r="E76" s="30">
        <v>5852792.0999999996</v>
      </c>
      <c r="F76" s="31">
        <v>29</v>
      </c>
      <c r="H76" s="29" t="s">
        <v>111</v>
      </c>
      <c r="I76" s="27" t="s">
        <v>58</v>
      </c>
      <c r="J76" s="31">
        <v>0.6</v>
      </c>
      <c r="K76" s="31">
        <v>1</v>
      </c>
      <c r="L76" s="17">
        <f>F76+J76</f>
        <v>29.6</v>
      </c>
      <c r="M76" s="16">
        <f>F76+K76</f>
        <v>30</v>
      </c>
      <c r="N76" s="12">
        <f>(L76+M76)/2</f>
        <v>29.8</v>
      </c>
      <c r="O76" s="11">
        <f>ROUND(N76,0)</f>
        <v>30</v>
      </c>
      <c r="P76" s="13">
        <f>J76</f>
        <v>0.6</v>
      </c>
      <c r="Q76" s="13">
        <f>K76</f>
        <v>1</v>
      </c>
      <c r="R76" s="13">
        <f>P76+F76</f>
        <v>29.6</v>
      </c>
      <c r="S76" s="13">
        <f>F76+Q76</f>
        <v>30</v>
      </c>
      <c r="T76" s="13">
        <f>(R76+S76)/2</f>
        <v>29.8</v>
      </c>
      <c r="U76" s="14">
        <f>ROUND(T76,0)</f>
        <v>30</v>
      </c>
      <c r="W76" s="34">
        <v>1.27</v>
      </c>
      <c r="X76" s="31">
        <v>98.08</v>
      </c>
      <c r="Y76" s="31">
        <v>0.65</v>
      </c>
      <c r="Z76" s="31">
        <v>0.56000000000000005</v>
      </c>
      <c r="AA76" s="31">
        <v>0.3</v>
      </c>
      <c r="AB76" s="34">
        <v>0.65</v>
      </c>
      <c r="AC76" s="31">
        <v>0.38</v>
      </c>
      <c r="AD76" s="32">
        <v>3.3607999999999998</v>
      </c>
      <c r="AE76" s="33">
        <v>0.17199999999999999</v>
      </c>
      <c r="AF76" s="33">
        <v>0.23200000000000001</v>
      </c>
      <c r="AG76" s="33">
        <v>0.51910000000000001</v>
      </c>
      <c r="AH76" s="33">
        <v>0.57820000000000005</v>
      </c>
      <c r="AI76" s="33">
        <v>0.64390000000000003</v>
      </c>
      <c r="AJ76" s="32">
        <v>3.3098000000000001</v>
      </c>
      <c r="AK76" s="33">
        <v>0.17349999999999999</v>
      </c>
      <c r="AL76" s="33">
        <v>0.23400000000000001</v>
      </c>
      <c r="AM76" s="33">
        <v>0.57440000000000002</v>
      </c>
      <c r="AN76" s="33">
        <v>0.63859999999999995</v>
      </c>
      <c r="AO76" s="33">
        <v>0.51659999999999995</v>
      </c>
    </row>
    <row r="77" spans="1:44">
      <c r="A77" s="29" t="s">
        <v>106</v>
      </c>
      <c r="B77" s="10">
        <v>2</v>
      </c>
      <c r="C77" s="29" t="s">
        <v>89</v>
      </c>
      <c r="D77" s="30">
        <v>598419.5</v>
      </c>
      <c r="E77" s="30">
        <v>5852792.0999999996</v>
      </c>
      <c r="F77" s="31">
        <v>29</v>
      </c>
      <c r="H77" s="29" t="s">
        <v>112</v>
      </c>
      <c r="I77" s="27" t="s">
        <v>59</v>
      </c>
      <c r="J77" s="31">
        <v>1.03</v>
      </c>
      <c r="K77" s="31">
        <v>2</v>
      </c>
      <c r="L77" s="17">
        <f>F77+J77</f>
        <v>30.03</v>
      </c>
      <c r="M77" s="16">
        <f>F77+K77</f>
        <v>31</v>
      </c>
      <c r="N77" s="12">
        <f>(L77+M77)/2</f>
        <v>30.515000000000001</v>
      </c>
      <c r="O77" s="11">
        <f>ROUND(N77,0)</f>
        <v>31</v>
      </c>
      <c r="P77" s="13">
        <v>1</v>
      </c>
      <c r="Q77" s="13">
        <f>K77</f>
        <v>2</v>
      </c>
      <c r="R77" s="13">
        <f>P77+F77</f>
        <v>30</v>
      </c>
      <c r="S77" s="13">
        <f>F77+Q77</f>
        <v>31</v>
      </c>
      <c r="T77" s="13">
        <f>(R77+S77)/2</f>
        <v>30.5</v>
      </c>
      <c r="U77" s="14">
        <f>ROUND(T77,0)</f>
        <v>31</v>
      </c>
      <c r="W77" s="34">
        <v>0.17</v>
      </c>
      <c r="X77" s="31">
        <v>99.29</v>
      </c>
      <c r="Y77" s="31">
        <v>0.54</v>
      </c>
      <c r="Z77" s="31">
        <v>0.38</v>
      </c>
      <c r="AA77" s="31">
        <v>0.27</v>
      </c>
      <c r="AB77" s="34">
        <v>0.54</v>
      </c>
      <c r="AC77" s="31">
        <v>0.43</v>
      </c>
      <c r="AD77" s="32">
        <v>2.8733</v>
      </c>
      <c r="AE77" s="33">
        <v>0.15079999999999999</v>
      </c>
      <c r="AF77" s="33">
        <v>0.17199999999999999</v>
      </c>
      <c r="AG77" s="33">
        <v>0.3926</v>
      </c>
      <c r="AH77" s="33">
        <v>0.43330000000000002</v>
      </c>
      <c r="AI77" s="33">
        <v>0.47810000000000002</v>
      </c>
      <c r="AJ77" s="32">
        <v>2.8475999999999999</v>
      </c>
      <c r="AK77" s="33">
        <v>0.15229999999999999</v>
      </c>
      <c r="AL77" s="33">
        <v>0.1736</v>
      </c>
      <c r="AM77" s="33">
        <v>0.43359999999999999</v>
      </c>
      <c r="AN77" s="33">
        <v>0.47810000000000002</v>
      </c>
      <c r="AO77" s="33">
        <v>0.3931</v>
      </c>
    </row>
    <row r="78" spans="1:44">
      <c r="A78" s="29" t="s">
        <v>106</v>
      </c>
      <c r="B78" s="10">
        <v>2</v>
      </c>
      <c r="C78" s="29" t="s">
        <v>89</v>
      </c>
      <c r="D78" s="30">
        <v>598419.5</v>
      </c>
      <c r="E78" s="30">
        <v>5852792.0999999996</v>
      </c>
      <c r="F78" s="31">
        <v>29</v>
      </c>
      <c r="H78" s="29" t="s">
        <v>113</v>
      </c>
      <c r="I78" s="27" t="s">
        <v>60</v>
      </c>
      <c r="J78" s="31">
        <v>2.04</v>
      </c>
      <c r="K78" s="31">
        <v>2.81</v>
      </c>
      <c r="L78" s="17">
        <f>F78+J78</f>
        <v>31.04</v>
      </c>
      <c r="M78" s="16">
        <f>F78+K78</f>
        <v>31.81</v>
      </c>
      <c r="N78" s="12">
        <f>(L78+M78)/2</f>
        <v>31.424999999999997</v>
      </c>
      <c r="O78" s="11">
        <f>ROUND(N78,0)</f>
        <v>31</v>
      </c>
      <c r="P78" s="13">
        <v>2</v>
      </c>
      <c r="Q78" s="13">
        <f>K78</f>
        <v>2.81</v>
      </c>
      <c r="R78" s="13">
        <f>P78+F78</f>
        <v>31</v>
      </c>
      <c r="S78" s="13">
        <f>F78+Q78</f>
        <v>31.81</v>
      </c>
      <c r="T78" s="13">
        <f>(R78+S78)/2</f>
        <v>31.405000000000001</v>
      </c>
      <c r="U78" s="14">
        <f>ROUND(T78,0)</f>
        <v>31</v>
      </c>
      <c r="W78" s="34">
        <v>0</v>
      </c>
      <c r="X78" s="31">
        <v>99.2</v>
      </c>
      <c r="Y78" s="31">
        <v>0.8</v>
      </c>
      <c r="Z78" s="31">
        <v>0.69</v>
      </c>
      <c r="AA78" s="31">
        <v>0.37</v>
      </c>
      <c r="AB78" s="34">
        <v>0.8</v>
      </c>
      <c r="AC78" s="31">
        <v>0.48</v>
      </c>
      <c r="AD78" s="32">
        <v>2.4533999999999998</v>
      </c>
      <c r="AE78" s="33">
        <v>0.1396</v>
      </c>
      <c r="AF78" s="33">
        <v>0.1522</v>
      </c>
      <c r="AG78" s="33">
        <v>0.29509999999999997</v>
      </c>
      <c r="AH78" s="33">
        <v>0.34239999999999998</v>
      </c>
      <c r="AI78" s="33">
        <v>0.38619999999999999</v>
      </c>
      <c r="AJ78" s="32">
        <v>2.4420999999999999</v>
      </c>
      <c r="AK78" s="33">
        <v>0.1406</v>
      </c>
      <c r="AL78" s="33">
        <v>0.1532</v>
      </c>
      <c r="AM78" s="33">
        <v>0.34339999999999998</v>
      </c>
      <c r="AN78" s="33">
        <v>0.38679999999999998</v>
      </c>
      <c r="AO78" s="33">
        <v>0.29620000000000002</v>
      </c>
    </row>
    <row r="79" spans="1:44">
      <c r="A79" s="29" t="s">
        <v>106</v>
      </c>
      <c r="B79" s="10">
        <v>2</v>
      </c>
      <c r="C79" s="29" t="s">
        <v>89</v>
      </c>
      <c r="D79" s="30">
        <v>598419.5</v>
      </c>
      <c r="E79" s="30">
        <v>5852792.0999999996</v>
      </c>
      <c r="F79" s="31">
        <v>29</v>
      </c>
      <c r="H79" s="29" t="s">
        <v>116</v>
      </c>
      <c r="I79" s="27" t="s">
        <v>63</v>
      </c>
      <c r="J79" s="31">
        <v>3.05</v>
      </c>
      <c r="K79" s="31">
        <v>4</v>
      </c>
      <c r="L79" s="17">
        <f>F79+J79</f>
        <v>32.049999999999997</v>
      </c>
      <c r="M79" s="16">
        <f>F79+K79</f>
        <v>33</v>
      </c>
      <c r="N79" s="12">
        <f>(L79+M79)/2</f>
        <v>32.524999999999999</v>
      </c>
      <c r="O79" s="11">
        <f>ROUND(N79,0)</f>
        <v>33</v>
      </c>
      <c r="P79" s="13">
        <v>3</v>
      </c>
      <c r="Q79" s="13">
        <f>K79</f>
        <v>4</v>
      </c>
      <c r="R79" s="13">
        <f>P79+F79</f>
        <v>32</v>
      </c>
      <c r="S79" s="13">
        <f>F79+Q79</f>
        <v>33</v>
      </c>
      <c r="T79" s="13">
        <f>(R79+S79)/2</f>
        <v>32.5</v>
      </c>
      <c r="U79" s="14">
        <f>ROUND(T79,0)</f>
        <v>33</v>
      </c>
      <c r="W79" s="34">
        <v>0.96</v>
      </c>
      <c r="X79" s="31">
        <v>98.31</v>
      </c>
      <c r="Y79" s="31">
        <v>0.73</v>
      </c>
      <c r="Z79" s="31">
        <v>0.44</v>
      </c>
      <c r="AA79" s="31">
        <v>0.28999999999999998</v>
      </c>
      <c r="AB79" s="34">
        <v>0.73</v>
      </c>
      <c r="AC79" s="31">
        <v>0.57999999999999996</v>
      </c>
      <c r="AD79" s="32">
        <v>2.1916000000000002</v>
      </c>
      <c r="AE79" s="33">
        <v>0.17419999999999999</v>
      </c>
      <c r="AF79" s="33">
        <v>0.20280000000000001</v>
      </c>
      <c r="AG79" s="33">
        <v>0.33829999999999999</v>
      </c>
      <c r="AH79" s="33">
        <v>0.38179999999999997</v>
      </c>
      <c r="AI79" s="33">
        <v>0.43480000000000002</v>
      </c>
      <c r="AJ79" s="32">
        <v>2.1398000000000001</v>
      </c>
      <c r="AK79" s="33">
        <v>0.17760000000000001</v>
      </c>
      <c r="AL79" s="33">
        <v>0.20480000000000001</v>
      </c>
      <c r="AM79" s="33">
        <v>0.38009999999999999</v>
      </c>
      <c r="AN79" s="33">
        <v>0.43190000000000001</v>
      </c>
      <c r="AO79" s="33">
        <v>0.33760000000000001</v>
      </c>
    </row>
    <row r="80" spans="1:44">
      <c r="A80" s="29" t="s">
        <v>106</v>
      </c>
      <c r="B80" s="10">
        <v>2</v>
      </c>
      <c r="C80" s="29" t="s">
        <v>89</v>
      </c>
      <c r="D80" s="30">
        <v>598419.5</v>
      </c>
      <c r="E80" s="30">
        <v>5852792.0999999996</v>
      </c>
      <c r="F80" s="31">
        <v>29</v>
      </c>
      <c r="H80" s="29" t="s">
        <v>117</v>
      </c>
      <c r="I80" s="27" t="s">
        <v>62</v>
      </c>
      <c r="J80" s="31">
        <v>4.04</v>
      </c>
      <c r="K80" s="31">
        <v>5</v>
      </c>
      <c r="L80" s="17">
        <f>F80+J80</f>
        <v>33.04</v>
      </c>
      <c r="M80" s="16">
        <f>F80+K80</f>
        <v>34</v>
      </c>
      <c r="N80" s="12">
        <f>(L80+M80)/2</f>
        <v>33.519999999999996</v>
      </c>
      <c r="O80" s="11">
        <f>ROUND(N80,0)</f>
        <v>34</v>
      </c>
      <c r="P80" s="13">
        <f>J80</f>
        <v>4.04</v>
      </c>
      <c r="Q80" s="13">
        <v>5.65</v>
      </c>
      <c r="R80" s="13">
        <f>P80+F80</f>
        <v>33.04</v>
      </c>
      <c r="S80" s="13">
        <f>F80+Q80</f>
        <v>34.65</v>
      </c>
      <c r="T80" s="13">
        <f>(R80+S80)/2</f>
        <v>33.844999999999999</v>
      </c>
      <c r="U80" s="14">
        <f>ROUND(T80,0)</f>
        <v>34</v>
      </c>
      <c r="W80" s="34">
        <v>0</v>
      </c>
      <c r="X80" s="31">
        <v>99.46</v>
      </c>
      <c r="Y80" s="31">
        <v>0.54</v>
      </c>
      <c r="Z80" s="31">
        <v>0.52</v>
      </c>
      <c r="AA80" s="31">
        <v>0.26</v>
      </c>
      <c r="AB80" s="34">
        <v>0.54</v>
      </c>
      <c r="AC80" s="31">
        <v>0.28999999999999998</v>
      </c>
      <c r="AD80" s="32">
        <v>1.6165</v>
      </c>
      <c r="AE80" s="33">
        <v>0.19700000000000001</v>
      </c>
      <c r="AF80" s="33">
        <v>0.22159999999999999</v>
      </c>
      <c r="AG80" s="33">
        <v>0.29970000000000002</v>
      </c>
      <c r="AH80" s="33">
        <v>0.31840000000000002</v>
      </c>
      <c r="AI80" s="33">
        <v>0.33829999999999999</v>
      </c>
      <c r="AJ80" s="32">
        <v>1.6077999999999999</v>
      </c>
      <c r="AK80" s="33">
        <v>0.19819999999999999</v>
      </c>
      <c r="AL80" s="33">
        <v>0.22289999999999999</v>
      </c>
      <c r="AM80" s="33">
        <v>0.31859999999999999</v>
      </c>
      <c r="AN80" s="33">
        <v>0.33850000000000002</v>
      </c>
      <c r="AO80" s="33">
        <v>0.2999</v>
      </c>
    </row>
    <row r="81" spans="1:44">
      <c r="A81" s="29" t="s">
        <v>107</v>
      </c>
      <c r="B81" s="10">
        <v>2</v>
      </c>
      <c r="C81" s="29" t="s">
        <v>90</v>
      </c>
      <c r="D81" s="30">
        <v>598699.6</v>
      </c>
      <c r="E81" s="30">
        <v>5852493.2999999998</v>
      </c>
      <c r="F81" s="31">
        <v>24.3</v>
      </c>
      <c r="H81" s="29" t="s">
        <v>111</v>
      </c>
      <c r="I81" s="27" t="s">
        <v>65</v>
      </c>
      <c r="J81" s="31">
        <v>0.12</v>
      </c>
      <c r="K81" s="31">
        <v>0.68</v>
      </c>
      <c r="L81" s="17">
        <f>F81+J81</f>
        <v>24.42</v>
      </c>
      <c r="M81" s="16">
        <f>F81+K81</f>
        <v>24.98</v>
      </c>
      <c r="N81" s="12">
        <f>(L81+M81)/2</f>
        <v>24.700000000000003</v>
      </c>
      <c r="O81" s="11">
        <f>ROUND(N81,0)</f>
        <v>25</v>
      </c>
      <c r="P81" s="13">
        <v>0</v>
      </c>
      <c r="Q81" s="13">
        <f>K81</f>
        <v>0.68</v>
      </c>
      <c r="R81" s="13">
        <f>P81+F81</f>
        <v>24.3</v>
      </c>
      <c r="S81" s="13">
        <f>F81+Q81</f>
        <v>24.98</v>
      </c>
      <c r="T81" s="13">
        <f>(R81+S81)/2</f>
        <v>24.64</v>
      </c>
      <c r="U81" s="14">
        <f>ROUND(T81,0)</f>
        <v>25</v>
      </c>
      <c r="W81" s="34">
        <v>2.79</v>
      </c>
      <c r="X81" s="31">
        <v>94.72</v>
      </c>
      <c r="Y81" s="31">
        <v>2.4900000000000002</v>
      </c>
      <c r="Z81" s="31">
        <v>1.98</v>
      </c>
      <c r="AA81" s="31">
        <v>1.68</v>
      </c>
      <c r="AB81" s="34">
        <v>2.4900000000000002</v>
      </c>
      <c r="AC81" s="31">
        <v>2.19</v>
      </c>
      <c r="AD81" s="32">
        <v>1.8967000000000001</v>
      </c>
      <c r="AE81" s="33">
        <v>0.1447</v>
      </c>
      <c r="AF81" s="33">
        <v>0.1648</v>
      </c>
      <c r="AG81" s="33">
        <v>0.24229999999999999</v>
      </c>
      <c r="AH81" s="33">
        <v>0.27439999999999998</v>
      </c>
      <c r="AI81" s="33">
        <v>0.31540000000000001</v>
      </c>
      <c r="AJ81" s="32">
        <v>1.7945</v>
      </c>
      <c r="AK81" s="33">
        <v>0.1512</v>
      </c>
      <c r="AL81" s="33">
        <v>0.17119999999999999</v>
      </c>
      <c r="AM81" s="33">
        <v>0.27129999999999999</v>
      </c>
      <c r="AN81" s="33">
        <v>0.30980000000000002</v>
      </c>
      <c r="AO81" s="33">
        <v>0.24160000000000001</v>
      </c>
    </row>
    <row r="82" spans="1:44">
      <c r="A82" s="29" t="s">
        <v>107</v>
      </c>
      <c r="B82" s="10">
        <v>2</v>
      </c>
      <c r="C82" s="29" t="s">
        <v>90</v>
      </c>
      <c r="D82" s="30">
        <v>598699.6</v>
      </c>
      <c r="E82" s="30">
        <v>5852493.2999999998</v>
      </c>
      <c r="F82" s="31">
        <v>24.3</v>
      </c>
      <c r="H82" s="29" t="s">
        <v>111</v>
      </c>
      <c r="I82" s="27" t="s">
        <v>58</v>
      </c>
      <c r="J82" s="31">
        <v>0.68</v>
      </c>
      <c r="K82" s="31">
        <v>1</v>
      </c>
      <c r="L82" s="17">
        <f>F82+J82</f>
        <v>24.98</v>
      </c>
      <c r="M82" s="16">
        <f>F82+K82</f>
        <v>25.3</v>
      </c>
      <c r="N82" s="12">
        <f>(L82+M82)/2</f>
        <v>25.14</v>
      </c>
      <c r="O82" s="11">
        <f>ROUND(N82,0)</f>
        <v>25</v>
      </c>
      <c r="P82" s="13">
        <f>J82</f>
        <v>0.68</v>
      </c>
      <c r="Q82" s="13">
        <f>K82</f>
        <v>1</v>
      </c>
      <c r="R82" s="13">
        <f>P82+F82</f>
        <v>24.98</v>
      </c>
      <c r="S82" s="13">
        <f>F82+Q82</f>
        <v>25.3</v>
      </c>
      <c r="T82" s="13">
        <f>(R82+S82)/2</f>
        <v>25.14</v>
      </c>
      <c r="U82" s="14">
        <f>ROUND(T82,0)</f>
        <v>25</v>
      </c>
      <c r="W82" s="34">
        <v>0.03</v>
      </c>
      <c r="X82" s="31">
        <v>98.6</v>
      </c>
      <c r="Y82" s="31">
        <v>1.37</v>
      </c>
      <c r="Z82" s="31">
        <v>1.1299999999999999</v>
      </c>
      <c r="AA82" s="31">
        <v>0.64</v>
      </c>
      <c r="AB82" s="34">
        <v>1.37</v>
      </c>
      <c r="AC82" s="31">
        <v>0.88</v>
      </c>
      <c r="AD82" s="32">
        <v>2.0085999999999999</v>
      </c>
      <c r="AE82" s="33">
        <v>0.15240000000000001</v>
      </c>
      <c r="AF82" s="33">
        <v>0.1802</v>
      </c>
      <c r="AG82" s="33">
        <v>0.28299999999999997</v>
      </c>
      <c r="AH82" s="33">
        <v>0.30620000000000003</v>
      </c>
      <c r="AI82" s="33">
        <v>0.33119999999999999</v>
      </c>
      <c r="AJ82" s="32">
        <v>1.9612000000000001</v>
      </c>
      <c r="AK82" s="33">
        <v>0.1565</v>
      </c>
      <c r="AL82" s="33">
        <v>0.1825</v>
      </c>
      <c r="AM82" s="33">
        <v>0.307</v>
      </c>
      <c r="AN82" s="33">
        <v>0.33179999999999998</v>
      </c>
      <c r="AO82" s="33">
        <v>0.28399999999999997</v>
      </c>
    </row>
    <row r="83" spans="1:44">
      <c r="A83" s="29" t="s">
        <v>107</v>
      </c>
      <c r="B83" s="10">
        <v>2</v>
      </c>
      <c r="C83" s="29" t="s">
        <v>90</v>
      </c>
      <c r="D83" s="30">
        <v>598699.6</v>
      </c>
      <c r="E83" s="30">
        <v>5852493.2999999998</v>
      </c>
      <c r="F83" s="31">
        <v>24.3</v>
      </c>
      <c r="H83" s="29" t="s">
        <v>112</v>
      </c>
      <c r="I83" s="27" t="s">
        <v>59</v>
      </c>
      <c r="J83" s="31">
        <v>1.03</v>
      </c>
      <c r="K83" s="31">
        <v>2</v>
      </c>
      <c r="L83" s="17">
        <f>F83+J83</f>
        <v>25.330000000000002</v>
      </c>
      <c r="M83" s="16">
        <f>F83+K83</f>
        <v>26.3</v>
      </c>
      <c r="N83" s="12">
        <f>(L83+M83)/2</f>
        <v>25.815000000000001</v>
      </c>
      <c r="O83" s="11">
        <f>ROUND(N83,0)</f>
        <v>26</v>
      </c>
      <c r="P83" s="13">
        <v>1</v>
      </c>
      <c r="Q83" s="13">
        <f>K83</f>
        <v>2</v>
      </c>
      <c r="R83" s="13">
        <f>P83+F83</f>
        <v>25.3</v>
      </c>
      <c r="S83" s="13">
        <f>F83+Q83</f>
        <v>26.3</v>
      </c>
      <c r="T83" s="13">
        <f>(R83+S83)/2</f>
        <v>25.8</v>
      </c>
      <c r="U83" s="14">
        <f>ROUND(T83,0)</f>
        <v>26</v>
      </c>
      <c r="W83" s="34">
        <v>0.01</v>
      </c>
      <c r="X83" s="31">
        <v>99.25</v>
      </c>
      <c r="Y83" s="31">
        <v>0.74</v>
      </c>
      <c r="Z83" s="31">
        <v>0.74</v>
      </c>
      <c r="AA83" s="31">
        <v>0.39</v>
      </c>
      <c r="AB83" s="34">
        <v>0.74</v>
      </c>
      <c r="AC83" s="31">
        <v>0.39</v>
      </c>
      <c r="AD83" s="32">
        <v>1.6632</v>
      </c>
      <c r="AE83" s="33">
        <v>0.18090000000000001</v>
      </c>
      <c r="AF83" s="33">
        <v>0.1946</v>
      </c>
      <c r="AG83" s="33">
        <v>0.28149999999999997</v>
      </c>
      <c r="AH83" s="33">
        <v>0.3009</v>
      </c>
      <c r="AI83" s="33">
        <v>0.32169999999999999</v>
      </c>
      <c r="AJ83" s="32">
        <v>1.6564000000000001</v>
      </c>
      <c r="AK83" s="33">
        <v>0.18190000000000001</v>
      </c>
      <c r="AL83" s="33">
        <v>0.1956</v>
      </c>
      <c r="AM83" s="33">
        <v>0.30120000000000002</v>
      </c>
      <c r="AN83" s="33">
        <v>0.32190000000000002</v>
      </c>
      <c r="AO83" s="33">
        <v>0.28189999999999998</v>
      </c>
    </row>
    <row r="84" spans="1:44">
      <c r="A84" s="29" t="s">
        <v>107</v>
      </c>
      <c r="B84" s="10">
        <v>2</v>
      </c>
      <c r="C84" s="29" t="s">
        <v>90</v>
      </c>
      <c r="D84" s="30">
        <v>598699.6</v>
      </c>
      <c r="E84" s="30">
        <v>5852493.2999999998</v>
      </c>
      <c r="F84" s="31">
        <v>24.3</v>
      </c>
      <c r="H84" s="29" t="s">
        <v>113</v>
      </c>
      <c r="I84" s="27" t="s">
        <v>60</v>
      </c>
      <c r="J84" s="31">
        <v>2.0299999999999998</v>
      </c>
      <c r="K84" s="31">
        <v>3</v>
      </c>
      <c r="L84" s="17">
        <f>F84+J84</f>
        <v>26.330000000000002</v>
      </c>
      <c r="M84" s="16">
        <f>F84+K84</f>
        <v>27.3</v>
      </c>
      <c r="N84" s="12">
        <f>(L84+M84)/2</f>
        <v>26.815000000000001</v>
      </c>
      <c r="O84" s="11">
        <f>ROUND(N84,0)</f>
        <v>27</v>
      </c>
      <c r="P84" s="13">
        <v>2</v>
      </c>
      <c r="Q84" s="13">
        <f>K84</f>
        <v>3</v>
      </c>
      <c r="R84" s="13">
        <f>P84+F84</f>
        <v>26.3</v>
      </c>
      <c r="S84" s="13">
        <f>F84+Q84</f>
        <v>27.3</v>
      </c>
      <c r="T84" s="13">
        <f>(R84+S84)/2</f>
        <v>26.8</v>
      </c>
      <c r="U84" s="14">
        <f>ROUND(T84,0)</f>
        <v>27</v>
      </c>
      <c r="W84" s="34">
        <v>0</v>
      </c>
      <c r="X84" s="31">
        <v>98.86</v>
      </c>
      <c r="Y84" s="31">
        <v>1.1399999999999999</v>
      </c>
      <c r="Z84" s="31">
        <v>0.91</v>
      </c>
      <c r="AA84" s="31">
        <v>0.52</v>
      </c>
      <c r="AB84" s="34">
        <v>1.1399999999999999</v>
      </c>
      <c r="AC84" s="31">
        <v>0.75</v>
      </c>
      <c r="AD84" s="32">
        <v>1.6165</v>
      </c>
      <c r="AE84" s="33">
        <v>0.13550000000000001</v>
      </c>
      <c r="AF84" s="33">
        <v>0.14449999999999999</v>
      </c>
      <c r="AG84" s="33">
        <v>0.20419999999999999</v>
      </c>
      <c r="AH84" s="33">
        <v>0.219</v>
      </c>
      <c r="AI84" s="33">
        <v>0.2349</v>
      </c>
      <c r="AJ84" s="32">
        <v>1.6059000000000001</v>
      </c>
      <c r="AK84" s="33">
        <v>0.13669999999999999</v>
      </c>
      <c r="AL84" s="33">
        <v>0.1457</v>
      </c>
      <c r="AM84" s="33">
        <v>0.2195</v>
      </c>
      <c r="AN84" s="33">
        <v>0.23530000000000001</v>
      </c>
      <c r="AO84" s="33">
        <v>0.20469999999999999</v>
      </c>
    </row>
    <row r="85" spans="1:44">
      <c r="A85" s="29" t="s">
        <v>107</v>
      </c>
      <c r="B85" s="10">
        <v>2</v>
      </c>
      <c r="C85" s="29" t="s">
        <v>90</v>
      </c>
      <c r="D85" s="30">
        <v>598699.6</v>
      </c>
      <c r="E85" s="30">
        <v>5852493.2999999998</v>
      </c>
      <c r="F85" s="31">
        <v>24.3</v>
      </c>
      <c r="H85" s="29" t="s">
        <v>116</v>
      </c>
      <c r="I85" s="27" t="s">
        <v>61</v>
      </c>
      <c r="J85" s="31">
        <v>3.03</v>
      </c>
      <c r="K85" s="31">
        <v>4</v>
      </c>
      <c r="L85" s="17">
        <f>F85+J85</f>
        <v>27.330000000000002</v>
      </c>
      <c r="M85" s="16">
        <f>F85+K85</f>
        <v>28.3</v>
      </c>
      <c r="N85" s="12">
        <f>(L85+M85)/2</f>
        <v>27.815000000000001</v>
      </c>
      <c r="O85" s="11">
        <f>ROUND(N85,0)</f>
        <v>28</v>
      </c>
      <c r="P85" s="13">
        <v>3</v>
      </c>
      <c r="Q85" s="13">
        <v>4.75</v>
      </c>
      <c r="R85" s="13">
        <f>P85+F85</f>
        <v>27.3</v>
      </c>
      <c r="S85" s="13">
        <f>F85+Q85</f>
        <v>29.05</v>
      </c>
      <c r="T85" s="13">
        <f>(R85+S85)/2</f>
        <v>28.175000000000001</v>
      </c>
      <c r="U85" s="14">
        <f>ROUND(T85,0)</f>
        <v>28</v>
      </c>
      <c r="W85" s="34">
        <v>0</v>
      </c>
      <c r="X85" s="31">
        <v>99.16</v>
      </c>
      <c r="Y85" s="31">
        <v>0.84</v>
      </c>
      <c r="Z85" s="31">
        <v>0.83</v>
      </c>
      <c r="AA85" s="31">
        <v>0.51</v>
      </c>
      <c r="AB85" s="34">
        <v>0.84</v>
      </c>
      <c r="AC85" s="31">
        <v>0.52</v>
      </c>
      <c r="AD85" s="32">
        <v>1.5387999999999999</v>
      </c>
      <c r="AE85" s="33">
        <v>0.13389999999999999</v>
      </c>
      <c r="AF85" s="33">
        <v>0.1409</v>
      </c>
      <c r="AG85" s="33">
        <v>0.19320000000000001</v>
      </c>
      <c r="AH85" s="33">
        <v>0.20599999999999999</v>
      </c>
      <c r="AI85" s="33">
        <v>0.21970000000000001</v>
      </c>
      <c r="AJ85" s="32">
        <v>1.5335000000000001</v>
      </c>
      <c r="AK85" s="33">
        <v>0.13450000000000001</v>
      </c>
      <c r="AL85" s="33">
        <v>0.14149999999999999</v>
      </c>
      <c r="AM85" s="33">
        <v>0.20630000000000001</v>
      </c>
      <c r="AN85" s="33">
        <v>0.21990000000000001</v>
      </c>
      <c r="AO85" s="33">
        <v>0.19350000000000001</v>
      </c>
    </row>
    <row r="86" spans="1:44">
      <c r="A86" s="29" t="s">
        <v>107</v>
      </c>
      <c r="B86" s="10">
        <v>2</v>
      </c>
      <c r="C86" s="29" t="s">
        <v>90</v>
      </c>
      <c r="D86" s="30">
        <v>598699.6</v>
      </c>
      <c r="E86" s="30">
        <v>5852493.2999999998</v>
      </c>
      <c r="F86" s="31">
        <v>24.3</v>
      </c>
      <c r="H86" s="29" t="s">
        <v>118</v>
      </c>
      <c r="I86" s="27" t="s">
        <v>62</v>
      </c>
      <c r="J86" s="31">
        <v>5.12</v>
      </c>
      <c r="K86" s="31">
        <v>5.95</v>
      </c>
      <c r="L86" s="17">
        <f>F86+J86</f>
        <v>29.42</v>
      </c>
      <c r="M86" s="16">
        <f>F86+K86</f>
        <v>30.25</v>
      </c>
      <c r="N86" s="12">
        <f>(L86+M86)/2</f>
        <v>29.835000000000001</v>
      </c>
      <c r="O86" s="11">
        <f>ROUND(N86,0)</f>
        <v>30</v>
      </c>
      <c r="P86" s="13">
        <v>4.75</v>
      </c>
      <c r="Q86" s="13">
        <f>K86</f>
        <v>5.95</v>
      </c>
      <c r="R86" s="13">
        <f>P86+F86</f>
        <v>29.05</v>
      </c>
      <c r="S86" s="13">
        <f>F86+Q86</f>
        <v>30.25</v>
      </c>
      <c r="T86" s="13">
        <f>(R86+S86)/2</f>
        <v>29.65</v>
      </c>
      <c r="U86" s="14">
        <f>ROUND(T86,0)</f>
        <v>30</v>
      </c>
      <c r="W86" s="34">
        <v>0.35</v>
      </c>
      <c r="X86" s="31">
        <v>98.88</v>
      </c>
      <c r="Y86" s="31">
        <v>0.77</v>
      </c>
      <c r="Z86" s="31">
        <v>0.57999999999999996</v>
      </c>
      <c r="AA86" s="31">
        <v>0.34</v>
      </c>
      <c r="AB86" s="34">
        <v>0.77</v>
      </c>
      <c r="AC86" s="31">
        <v>0.53</v>
      </c>
      <c r="AD86" s="32">
        <v>2.1318000000000001</v>
      </c>
      <c r="AE86" s="33">
        <v>0.1605</v>
      </c>
      <c r="AF86" s="33">
        <v>0.1845</v>
      </c>
      <c r="AG86" s="33">
        <v>0.30409999999999998</v>
      </c>
      <c r="AH86" s="33">
        <v>0.3422</v>
      </c>
      <c r="AI86" s="33">
        <v>0.38519999999999999</v>
      </c>
      <c r="AJ86" s="32">
        <v>2.1012</v>
      </c>
      <c r="AK86" s="33">
        <v>0.1628</v>
      </c>
      <c r="AL86" s="33">
        <v>0.1857</v>
      </c>
      <c r="AM86" s="33">
        <v>0.3422</v>
      </c>
      <c r="AN86" s="33">
        <v>0.38479999999999998</v>
      </c>
      <c r="AO86" s="33">
        <v>0.3044</v>
      </c>
    </row>
    <row r="87" spans="1:44">
      <c r="A87" s="29" t="s">
        <v>108</v>
      </c>
      <c r="B87" s="10">
        <v>2</v>
      </c>
      <c r="C87" s="29" t="s">
        <v>91</v>
      </c>
      <c r="D87" s="30">
        <v>597729.19999999995</v>
      </c>
      <c r="E87" s="30">
        <v>5853479</v>
      </c>
      <c r="F87" s="31">
        <v>24.3</v>
      </c>
      <c r="H87" s="29" t="s">
        <v>111</v>
      </c>
      <c r="I87" s="27" t="s">
        <v>65</v>
      </c>
      <c r="J87" s="31">
        <v>0.23</v>
      </c>
      <c r="K87" s="31">
        <v>0.61</v>
      </c>
      <c r="L87" s="17">
        <f>F87+J87</f>
        <v>24.53</v>
      </c>
      <c r="M87" s="16">
        <f>F87+K87</f>
        <v>24.91</v>
      </c>
      <c r="N87" s="12">
        <f>(L87+M87)/2</f>
        <v>24.72</v>
      </c>
      <c r="O87" s="11">
        <f>ROUND(N87,0)</f>
        <v>25</v>
      </c>
      <c r="P87" s="13">
        <v>0</v>
      </c>
      <c r="Q87" s="13">
        <f>K87</f>
        <v>0.61</v>
      </c>
      <c r="R87" s="13">
        <f>P87+F87</f>
        <v>24.3</v>
      </c>
      <c r="S87" s="13">
        <f>F87+Q87</f>
        <v>24.91</v>
      </c>
      <c r="T87" s="13">
        <f>(R87+S87)/2</f>
        <v>24.605</v>
      </c>
      <c r="U87" s="14">
        <f>ROUND(T87,0)</f>
        <v>25</v>
      </c>
      <c r="W87" s="34">
        <v>0.51</v>
      </c>
      <c r="X87" s="31">
        <v>98.24</v>
      </c>
      <c r="Y87" s="31">
        <v>1.25</v>
      </c>
      <c r="Z87" s="31">
        <v>0.99</v>
      </c>
      <c r="AA87" s="31">
        <v>0.72</v>
      </c>
      <c r="AB87" s="34">
        <v>1.25</v>
      </c>
      <c r="AC87" s="31">
        <v>0.97</v>
      </c>
      <c r="AD87" s="32">
        <v>1.6149</v>
      </c>
      <c r="AE87" s="33">
        <v>0.1409</v>
      </c>
      <c r="AF87" s="33">
        <v>0.15329999999999999</v>
      </c>
      <c r="AG87" s="33">
        <v>0.21290000000000001</v>
      </c>
      <c r="AH87" s="33">
        <v>0.22750000000000001</v>
      </c>
      <c r="AI87" s="33">
        <v>0.24299999999999999</v>
      </c>
      <c r="AJ87" s="32">
        <v>1.5933999999999999</v>
      </c>
      <c r="AK87" s="33">
        <v>0.14280000000000001</v>
      </c>
      <c r="AL87" s="33">
        <v>0.1552</v>
      </c>
      <c r="AM87" s="33">
        <v>0.2276</v>
      </c>
      <c r="AN87" s="33">
        <v>0.2429</v>
      </c>
      <c r="AO87" s="33">
        <v>0.21329999999999999</v>
      </c>
    </row>
    <row r="88" spans="1:44">
      <c r="A88" s="29" t="s">
        <v>108</v>
      </c>
      <c r="B88" s="10">
        <v>2</v>
      </c>
      <c r="C88" s="29" t="s">
        <v>91</v>
      </c>
      <c r="D88" s="30">
        <v>597729.19999999995</v>
      </c>
      <c r="E88" s="30">
        <v>5853479</v>
      </c>
      <c r="F88" s="31">
        <v>24.3</v>
      </c>
      <c r="H88" s="29" t="s">
        <v>111</v>
      </c>
      <c r="I88" s="27" t="s">
        <v>58</v>
      </c>
      <c r="J88" s="31">
        <v>0.61</v>
      </c>
      <c r="K88" s="31">
        <v>1</v>
      </c>
      <c r="L88" s="17">
        <f>F88+J88</f>
        <v>24.91</v>
      </c>
      <c r="M88" s="16">
        <f>F88+K88</f>
        <v>25.3</v>
      </c>
      <c r="N88" s="12">
        <f>(L88+M88)/2</f>
        <v>25.105</v>
      </c>
      <c r="O88" s="11">
        <f>ROUND(N88,0)</f>
        <v>25</v>
      </c>
      <c r="P88" s="13">
        <f>J88</f>
        <v>0.61</v>
      </c>
      <c r="Q88" s="13">
        <f>K88</f>
        <v>1</v>
      </c>
      <c r="R88" s="13">
        <f>P88+F88</f>
        <v>24.91</v>
      </c>
      <c r="S88" s="13">
        <f>F88+Q88</f>
        <v>25.3</v>
      </c>
      <c r="T88" s="13">
        <f>(R88+S88)/2</f>
        <v>25.105</v>
      </c>
      <c r="U88" s="14">
        <f>ROUND(T88,0)</f>
        <v>25</v>
      </c>
      <c r="W88" s="34">
        <v>0.53</v>
      </c>
      <c r="X88" s="31">
        <v>97.96</v>
      </c>
      <c r="Y88" s="31">
        <v>1.52</v>
      </c>
      <c r="Z88" s="31">
        <v>1.4</v>
      </c>
      <c r="AA88" s="31">
        <v>0.8</v>
      </c>
      <c r="AB88" s="34">
        <v>1.52</v>
      </c>
      <c r="AC88" s="31">
        <v>0.91</v>
      </c>
      <c r="AD88" s="32">
        <v>1.607</v>
      </c>
      <c r="AE88" s="33">
        <v>0.14269999999999999</v>
      </c>
      <c r="AF88" s="33">
        <v>0.15629999999999999</v>
      </c>
      <c r="AG88" s="33">
        <v>0.21490000000000001</v>
      </c>
      <c r="AH88" s="33">
        <v>0.2293</v>
      </c>
      <c r="AI88" s="33">
        <v>0.2447</v>
      </c>
      <c r="AJ88" s="32">
        <v>1.585</v>
      </c>
      <c r="AK88" s="33">
        <v>0.1447</v>
      </c>
      <c r="AL88" s="33">
        <v>0.1583</v>
      </c>
      <c r="AM88" s="33">
        <v>0.22939999999999999</v>
      </c>
      <c r="AN88" s="33">
        <v>0.2445</v>
      </c>
      <c r="AO88" s="33">
        <v>0.2152</v>
      </c>
    </row>
    <row r="89" spans="1:44">
      <c r="A89" s="29" t="s">
        <v>108</v>
      </c>
      <c r="B89" s="10">
        <v>2</v>
      </c>
      <c r="C89" s="29" t="s">
        <v>91</v>
      </c>
      <c r="D89" s="30">
        <v>597729.19999999995</v>
      </c>
      <c r="E89" s="30">
        <v>5853479</v>
      </c>
      <c r="F89" s="31">
        <v>24.3</v>
      </c>
      <c r="H89" s="29" t="s">
        <v>112</v>
      </c>
      <c r="I89" s="27" t="s">
        <v>59</v>
      </c>
      <c r="J89" s="31">
        <v>1.1200000000000001</v>
      </c>
      <c r="K89" s="31">
        <v>2</v>
      </c>
      <c r="L89" s="17">
        <f>F89+J89</f>
        <v>25.42</v>
      </c>
      <c r="M89" s="16">
        <f>F89+K89</f>
        <v>26.3</v>
      </c>
      <c r="N89" s="12">
        <f>(L89+M89)/2</f>
        <v>25.86</v>
      </c>
      <c r="O89" s="11">
        <f>ROUND(N89,0)</f>
        <v>26</v>
      </c>
      <c r="P89" s="13">
        <v>1</v>
      </c>
      <c r="Q89" s="13">
        <v>2.38</v>
      </c>
      <c r="R89" s="13">
        <f>P89+F89</f>
        <v>25.3</v>
      </c>
      <c r="S89" s="13">
        <f>F89+Q89</f>
        <v>26.68</v>
      </c>
      <c r="T89" s="13">
        <f>(R89+S89)/2</f>
        <v>25.990000000000002</v>
      </c>
      <c r="U89" s="14">
        <f>ROUND(T89,0)</f>
        <v>26</v>
      </c>
      <c r="W89" s="34">
        <v>1.1200000000000001</v>
      </c>
      <c r="X89" s="31">
        <v>97.31</v>
      </c>
      <c r="Y89" s="31">
        <v>1.57</v>
      </c>
      <c r="Z89" s="31">
        <v>1.35</v>
      </c>
      <c r="AA89" s="31">
        <v>0.91</v>
      </c>
      <c r="AB89" s="34">
        <v>1.57</v>
      </c>
      <c r="AC89" s="31">
        <v>1.1399999999999999</v>
      </c>
      <c r="AD89" s="32">
        <v>1.6829000000000001</v>
      </c>
      <c r="AE89" s="33">
        <v>0.13980000000000001</v>
      </c>
      <c r="AF89" s="33">
        <v>0.1522</v>
      </c>
      <c r="AG89" s="33">
        <v>0.218</v>
      </c>
      <c r="AH89" s="33">
        <v>0.23530000000000001</v>
      </c>
      <c r="AI89" s="33">
        <v>0.25940000000000002</v>
      </c>
      <c r="AJ89" s="32">
        <v>1.6544000000000001</v>
      </c>
      <c r="AK89" s="33">
        <v>0.14199999999999999</v>
      </c>
      <c r="AL89" s="33">
        <v>0.1542</v>
      </c>
      <c r="AM89" s="33">
        <v>0.2349</v>
      </c>
      <c r="AN89" s="33">
        <v>0.25740000000000002</v>
      </c>
      <c r="AO89" s="33">
        <v>0.218</v>
      </c>
    </row>
    <row r="90" spans="1:44">
      <c r="A90" s="29" t="s">
        <v>108</v>
      </c>
      <c r="B90" s="10">
        <v>2</v>
      </c>
      <c r="C90" s="29" t="s">
        <v>91</v>
      </c>
      <c r="D90" s="30">
        <v>597729.19999999995</v>
      </c>
      <c r="E90" s="30">
        <v>5853479</v>
      </c>
      <c r="F90" s="31">
        <v>24.3</v>
      </c>
      <c r="H90" s="29" t="s">
        <v>113</v>
      </c>
      <c r="I90" s="27" t="s">
        <v>60</v>
      </c>
      <c r="J90" s="31">
        <v>2.54</v>
      </c>
      <c r="K90" s="31">
        <v>3</v>
      </c>
      <c r="L90" s="17">
        <f>F90+J90</f>
        <v>26.84</v>
      </c>
      <c r="M90" s="16">
        <f>F90+K90</f>
        <v>27.3</v>
      </c>
      <c r="N90" s="12">
        <f>(L90+M90)/2</f>
        <v>27.07</v>
      </c>
      <c r="O90" s="11">
        <f>ROUND(N90,0)</f>
        <v>27</v>
      </c>
      <c r="P90" s="13">
        <v>2.38</v>
      </c>
      <c r="Q90" s="13">
        <f>K90</f>
        <v>3</v>
      </c>
      <c r="R90" s="13">
        <f>P90+F90</f>
        <v>26.68</v>
      </c>
      <c r="S90" s="13">
        <f>F90+Q90</f>
        <v>27.3</v>
      </c>
      <c r="T90" s="13">
        <f>(R90+S90)/2</f>
        <v>26.990000000000002</v>
      </c>
      <c r="U90" s="14">
        <f>ROUND(T90,0)</f>
        <v>27</v>
      </c>
      <c r="W90" s="34">
        <v>0.01</v>
      </c>
      <c r="X90" s="31">
        <v>98.58</v>
      </c>
      <c r="Y90" s="31">
        <v>1.41</v>
      </c>
      <c r="Z90" s="31">
        <v>1.02</v>
      </c>
      <c r="AA90" s="31">
        <v>0.52</v>
      </c>
      <c r="AB90" s="34">
        <v>1.41</v>
      </c>
      <c r="AC90" s="31">
        <v>0.92</v>
      </c>
      <c r="AD90" s="32">
        <v>1.8706</v>
      </c>
      <c r="AE90" s="33">
        <v>0.14940000000000001</v>
      </c>
      <c r="AF90" s="33">
        <v>0.1729</v>
      </c>
      <c r="AG90" s="33">
        <v>0.26029999999999998</v>
      </c>
      <c r="AH90" s="33">
        <v>0.27960000000000002</v>
      </c>
      <c r="AI90" s="33">
        <v>0.30030000000000001</v>
      </c>
      <c r="AJ90" s="32">
        <v>1.8309</v>
      </c>
      <c r="AK90" s="33">
        <v>0.15310000000000001</v>
      </c>
      <c r="AL90" s="33">
        <v>0.1769</v>
      </c>
      <c r="AM90" s="33">
        <v>0.28029999999999999</v>
      </c>
      <c r="AN90" s="33">
        <v>0.3009</v>
      </c>
      <c r="AO90" s="33">
        <v>0.2611</v>
      </c>
    </row>
    <row r="91" spans="1:44">
      <c r="A91" s="29" t="s">
        <v>108</v>
      </c>
      <c r="B91" s="10">
        <v>2</v>
      </c>
      <c r="C91" s="29" t="s">
        <v>91</v>
      </c>
      <c r="D91" s="30">
        <v>597729.19999999995</v>
      </c>
      <c r="E91" s="30">
        <v>5853479</v>
      </c>
      <c r="F91" s="31">
        <v>24.3</v>
      </c>
      <c r="H91" s="29" t="s">
        <v>116</v>
      </c>
      <c r="I91" s="27" t="s">
        <v>63</v>
      </c>
      <c r="J91" s="31">
        <v>3.04</v>
      </c>
      <c r="K91" s="31">
        <v>4</v>
      </c>
      <c r="L91" s="17">
        <f>F91+J91</f>
        <v>27.34</v>
      </c>
      <c r="M91" s="16">
        <f>F91+K91</f>
        <v>28.3</v>
      </c>
      <c r="N91" s="12">
        <f>(L91+M91)/2</f>
        <v>27.82</v>
      </c>
      <c r="O91" s="11">
        <f>ROUND(N91,0)</f>
        <v>28</v>
      </c>
      <c r="P91" s="13">
        <v>3</v>
      </c>
      <c r="Q91" s="13">
        <f>K91</f>
        <v>4</v>
      </c>
      <c r="R91" s="13">
        <f>P91+F91</f>
        <v>27.3</v>
      </c>
      <c r="S91" s="13">
        <f>F91+Q91</f>
        <v>28.3</v>
      </c>
      <c r="T91" s="13">
        <f>(R91+S91)/2</f>
        <v>27.8</v>
      </c>
      <c r="U91" s="14">
        <f>ROUND(T91,0)</f>
        <v>28</v>
      </c>
      <c r="W91" s="34">
        <v>0.02</v>
      </c>
      <c r="X91" s="31">
        <v>98.85</v>
      </c>
      <c r="Y91" s="31">
        <v>1.1299999999999999</v>
      </c>
      <c r="Z91" s="31">
        <v>0.89</v>
      </c>
      <c r="AA91" s="31">
        <v>0.5</v>
      </c>
      <c r="AB91" s="34">
        <v>1.1299999999999999</v>
      </c>
      <c r="AC91" s="31">
        <v>0.74</v>
      </c>
      <c r="AD91" s="32">
        <v>1.6223000000000001</v>
      </c>
      <c r="AE91" s="33">
        <v>0.14080000000000001</v>
      </c>
      <c r="AF91" s="33">
        <v>0.15340000000000001</v>
      </c>
      <c r="AG91" s="33">
        <v>0.2137</v>
      </c>
      <c r="AH91" s="33">
        <v>0.22839999999999999</v>
      </c>
      <c r="AI91" s="33">
        <v>0.2442</v>
      </c>
      <c r="AJ91" s="32">
        <v>1.6071</v>
      </c>
      <c r="AK91" s="33">
        <v>0.1424</v>
      </c>
      <c r="AL91" s="33">
        <v>0.155</v>
      </c>
      <c r="AM91" s="33">
        <v>0.2288</v>
      </c>
      <c r="AN91" s="33">
        <v>0.2445</v>
      </c>
      <c r="AO91" s="33">
        <v>0.2142</v>
      </c>
    </row>
    <row r="92" spans="1:44">
      <c r="A92" s="29" t="s">
        <v>108</v>
      </c>
      <c r="B92" s="10">
        <v>2</v>
      </c>
      <c r="C92" s="29" t="s">
        <v>91</v>
      </c>
      <c r="D92" s="30">
        <v>597729.19999999995</v>
      </c>
      <c r="E92" s="30">
        <v>5853479</v>
      </c>
      <c r="F92" s="31">
        <v>24.3</v>
      </c>
      <c r="H92" s="29" t="s">
        <v>117</v>
      </c>
      <c r="I92" s="27" t="s">
        <v>61</v>
      </c>
      <c r="J92" s="31">
        <v>4</v>
      </c>
      <c r="K92" s="31">
        <v>4.92</v>
      </c>
      <c r="L92" s="17">
        <f>F92+J92</f>
        <v>28.3</v>
      </c>
      <c r="M92" s="16">
        <f>F92+K92</f>
        <v>29.22</v>
      </c>
      <c r="N92" s="12">
        <f>(L92+M92)/2</f>
        <v>28.759999999999998</v>
      </c>
      <c r="O92" s="11">
        <f>ROUND(N92,0)</f>
        <v>29</v>
      </c>
      <c r="P92" s="13">
        <f>J92</f>
        <v>4</v>
      </c>
      <c r="Q92" s="13">
        <f>K92</f>
        <v>4.92</v>
      </c>
      <c r="R92" s="13">
        <f>P92+F92</f>
        <v>28.3</v>
      </c>
      <c r="S92" s="13">
        <f>F92+Q92</f>
        <v>29.22</v>
      </c>
      <c r="T92" s="13">
        <f>(R92+S92)/2</f>
        <v>28.759999999999998</v>
      </c>
      <c r="U92" s="14">
        <f>ROUND(T92,0)</f>
        <v>29</v>
      </c>
      <c r="W92" s="34">
        <v>0.19</v>
      </c>
      <c r="X92" s="31">
        <v>98.94</v>
      </c>
      <c r="Y92" s="31">
        <v>0.88</v>
      </c>
      <c r="Z92" s="31">
        <v>0.71</v>
      </c>
      <c r="AA92" s="31">
        <v>0.46</v>
      </c>
      <c r="AB92" s="34">
        <v>0.88</v>
      </c>
      <c r="AC92" s="31">
        <v>0.62</v>
      </c>
      <c r="AD92" s="32">
        <v>1.6193</v>
      </c>
      <c r="AE92" s="33">
        <v>0.13780000000000001</v>
      </c>
      <c r="AF92" s="33">
        <v>0.1479</v>
      </c>
      <c r="AG92" s="33">
        <v>0.20830000000000001</v>
      </c>
      <c r="AH92" s="33">
        <v>0.22309999999999999</v>
      </c>
      <c r="AI92" s="33">
        <v>0.23899999999999999</v>
      </c>
      <c r="AJ92" s="32">
        <v>1.6084000000000001</v>
      </c>
      <c r="AK92" s="33">
        <v>0.13880000000000001</v>
      </c>
      <c r="AL92" s="33">
        <v>0.14899999999999999</v>
      </c>
      <c r="AM92" s="33">
        <v>0.2233</v>
      </c>
      <c r="AN92" s="33">
        <v>0.23910000000000001</v>
      </c>
      <c r="AO92" s="33">
        <v>0.20860000000000001</v>
      </c>
    </row>
    <row r="93" spans="1:44">
      <c r="A93" s="29" t="s">
        <v>109</v>
      </c>
      <c r="B93" s="10">
        <v>2</v>
      </c>
      <c r="C93" s="29" t="s">
        <v>92</v>
      </c>
      <c r="D93" s="30">
        <v>597714</v>
      </c>
      <c r="E93" s="30">
        <v>5852880.4000000004</v>
      </c>
      <c r="F93" s="31">
        <v>24.5</v>
      </c>
      <c r="H93" s="29" t="s">
        <v>111</v>
      </c>
      <c r="I93" s="27" t="s">
        <v>65</v>
      </c>
      <c r="J93" s="31">
        <v>0.12</v>
      </c>
      <c r="K93" s="31">
        <v>0.6</v>
      </c>
      <c r="L93" s="17">
        <f>F93+J93</f>
        <v>24.62</v>
      </c>
      <c r="M93" s="16">
        <f>F93+K93</f>
        <v>25.1</v>
      </c>
      <c r="N93" s="12">
        <f>(L93+M93)/2</f>
        <v>24.86</v>
      </c>
      <c r="O93" s="11">
        <f>ROUND(N93,0)</f>
        <v>25</v>
      </c>
      <c r="P93" s="13">
        <v>0</v>
      </c>
      <c r="Q93" s="13">
        <f>K93</f>
        <v>0.6</v>
      </c>
      <c r="R93" s="13">
        <f>P93+F93</f>
        <v>24.5</v>
      </c>
      <c r="S93" s="13">
        <f>F93+Q93</f>
        <v>25.1</v>
      </c>
      <c r="T93" s="13">
        <f>(R93+S93)/2</f>
        <v>24.8</v>
      </c>
      <c r="U93" s="14">
        <f>ROUND(T93,0)</f>
        <v>25</v>
      </c>
      <c r="W93" s="34">
        <v>0.74</v>
      </c>
      <c r="X93" s="31">
        <v>98.37</v>
      </c>
      <c r="Y93" s="31">
        <v>0.89</v>
      </c>
      <c r="Z93" s="31">
        <v>0.77</v>
      </c>
      <c r="AA93" s="31">
        <v>0.64</v>
      </c>
      <c r="AB93" s="34">
        <v>0.89</v>
      </c>
      <c r="AC93" s="31">
        <v>0.77</v>
      </c>
      <c r="AD93" s="32">
        <v>1.6534</v>
      </c>
      <c r="AE93" s="33">
        <v>0.14419999999999999</v>
      </c>
      <c r="AF93" s="33">
        <v>0.15859999999999999</v>
      </c>
      <c r="AG93" s="33">
        <v>0.22159999999999999</v>
      </c>
      <c r="AH93" s="33">
        <v>0.23849999999999999</v>
      </c>
      <c r="AI93" s="33">
        <v>0.26750000000000002</v>
      </c>
      <c r="AJ93" s="32">
        <v>1.6325000000000001</v>
      </c>
      <c r="AK93" s="33">
        <v>0.1459</v>
      </c>
      <c r="AL93" s="33">
        <v>0.16020000000000001</v>
      </c>
      <c r="AM93" s="33">
        <v>0.2382</v>
      </c>
      <c r="AN93" s="33">
        <v>0.2661</v>
      </c>
      <c r="AO93" s="33">
        <v>0.22159999999999999</v>
      </c>
    </row>
    <row r="94" spans="1:44" s="38" customFormat="1">
      <c r="A94" s="29" t="s">
        <v>109</v>
      </c>
      <c r="B94" s="10">
        <v>2</v>
      </c>
      <c r="C94" s="29" t="s">
        <v>92</v>
      </c>
      <c r="D94" s="30">
        <v>597714</v>
      </c>
      <c r="E94" s="30">
        <v>5852880.4000000004</v>
      </c>
      <c r="F94" s="31">
        <v>24.5</v>
      </c>
      <c r="G94"/>
      <c r="H94" s="29" t="s">
        <v>111</v>
      </c>
      <c r="I94" s="27" t="s">
        <v>58</v>
      </c>
      <c r="J94" s="31">
        <v>0.6</v>
      </c>
      <c r="K94" s="31">
        <v>1</v>
      </c>
      <c r="L94" s="17">
        <f>F94+J94</f>
        <v>25.1</v>
      </c>
      <c r="M94" s="16">
        <f>F94+K94</f>
        <v>25.5</v>
      </c>
      <c r="N94" s="12">
        <f>(L94+M94)/2</f>
        <v>25.3</v>
      </c>
      <c r="O94" s="11">
        <f>ROUND(N94,0)</f>
        <v>25</v>
      </c>
      <c r="P94" s="13">
        <f>J94</f>
        <v>0.6</v>
      </c>
      <c r="Q94" s="13">
        <f>K94</f>
        <v>1</v>
      </c>
      <c r="R94" s="13">
        <f>P94+F94</f>
        <v>25.1</v>
      </c>
      <c r="S94" s="13">
        <f>F94+Q94</f>
        <v>25.5</v>
      </c>
      <c r="T94" s="13">
        <f>(R94+S94)/2</f>
        <v>25.3</v>
      </c>
      <c r="U94" s="14">
        <f>ROUND(T94,0)</f>
        <v>25</v>
      </c>
      <c r="V94"/>
      <c r="W94" s="34">
        <v>0.79</v>
      </c>
      <c r="X94" s="31">
        <v>97.75</v>
      </c>
      <c r="Y94" s="31">
        <v>1.46</v>
      </c>
      <c r="Z94" s="31">
        <v>1.31</v>
      </c>
      <c r="AA94" s="31">
        <v>0.82</v>
      </c>
      <c r="AB94" s="34">
        <v>1.46</v>
      </c>
      <c r="AC94" s="31">
        <v>0.97</v>
      </c>
      <c r="AD94" s="32">
        <v>1.6701999999999999</v>
      </c>
      <c r="AE94" s="33">
        <v>0.1406</v>
      </c>
      <c r="AF94" s="33">
        <v>0.1527</v>
      </c>
      <c r="AG94" s="33">
        <v>0.21759999999999999</v>
      </c>
      <c r="AH94" s="33">
        <v>0.23480000000000001</v>
      </c>
      <c r="AI94" s="33">
        <v>0.25729999999999997</v>
      </c>
      <c r="AJ94" s="32">
        <v>1.6473</v>
      </c>
      <c r="AK94" s="33">
        <v>0.1424</v>
      </c>
      <c r="AL94" s="33">
        <v>0.1545</v>
      </c>
      <c r="AM94" s="33">
        <v>0.2346</v>
      </c>
      <c r="AN94" s="33">
        <v>0.25619999999999998</v>
      </c>
      <c r="AO94" s="33">
        <v>0.21779999999999999</v>
      </c>
      <c r="AP94"/>
      <c r="AQ94"/>
      <c r="AR94"/>
    </row>
    <row r="95" spans="1:44" s="38" customFormat="1">
      <c r="A95" s="29" t="s">
        <v>109</v>
      </c>
      <c r="B95" s="10">
        <v>2</v>
      </c>
      <c r="C95" s="29" t="s">
        <v>92</v>
      </c>
      <c r="D95" s="30">
        <v>597714</v>
      </c>
      <c r="E95" s="30">
        <v>5852880.4000000004</v>
      </c>
      <c r="F95" s="31">
        <v>24.5</v>
      </c>
      <c r="G95"/>
      <c r="H95" s="29" t="s">
        <v>112</v>
      </c>
      <c r="I95" s="27" t="s">
        <v>60</v>
      </c>
      <c r="J95" s="31">
        <v>1.17</v>
      </c>
      <c r="K95" s="31">
        <v>2</v>
      </c>
      <c r="L95" s="17">
        <f>F95+J95</f>
        <v>25.67</v>
      </c>
      <c r="M95" s="16">
        <f>F95+K95</f>
        <v>26.5</v>
      </c>
      <c r="N95" s="12">
        <f>(L95+M95)/2</f>
        <v>26.085000000000001</v>
      </c>
      <c r="O95" s="11">
        <f>ROUND(N95,0)</f>
        <v>26</v>
      </c>
      <c r="P95" s="13">
        <v>1</v>
      </c>
      <c r="Q95" s="13">
        <v>3.32</v>
      </c>
      <c r="R95" s="13">
        <f>P95+F95</f>
        <v>25.5</v>
      </c>
      <c r="S95" s="13">
        <f>F95+Q95</f>
        <v>27.82</v>
      </c>
      <c r="T95" s="13">
        <f>(R95+S95)/2</f>
        <v>26.66</v>
      </c>
      <c r="U95" s="14">
        <f>ROUND(T95,0)</f>
        <v>27</v>
      </c>
      <c r="V95"/>
      <c r="W95" s="34">
        <v>0.39</v>
      </c>
      <c r="X95" s="31">
        <v>98.8</v>
      </c>
      <c r="Y95" s="31">
        <v>0.82</v>
      </c>
      <c r="Z95" s="31">
        <v>0.81</v>
      </c>
      <c r="AA95" s="31">
        <v>0.52</v>
      </c>
      <c r="AB95" s="34">
        <v>0.82</v>
      </c>
      <c r="AC95" s="31">
        <v>0.52</v>
      </c>
      <c r="AD95" s="32">
        <v>1.6182000000000001</v>
      </c>
      <c r="AE95" s="33">
        <v>0.18770000000000001</v>
      </c>
      <c r="AF95" s="33">
        <v>0.20730000000000001</v>
      </c>
      <c r="AG95" s="33">
        <v>0.28749999999999998</v>
      </c>
      <c r="AH95" s="33">
        <v>0.30370000000000003</v>
      </c>
      <c r="AI95" s="33">
        <v>0.32079999999999997</v>
      </c>
      <c r="AJ95" s="32">
        <v>1.6042000000000001</v>
      </c>
      <c r="AK95" s="33">
        <v>0.1893</v>
      </c>
      <c r="AL95" s="33">
        <v>0.20880000000000001</v>
      </c>
      <c r="AM95" s="33">
        <v>0.30370000000000003</v>
      </c>
      <c r="AN95" s="33">
        <v>0.3206</v>
      </c>
      <c r="AO95" s="33">
        <v>0.28760000000000002</v>
      </c>
      <c r="AP95"/>
      <c r="AQ95"/>
      <c r="AR95"/>
    </row>
    <row r="96" spans="1:44">
      <c r="A96" s="29" t="s">
        <v>109</v>
      </c>
      <c r="B96" s="10">
        <v>2</v>
      </c>
      <c r="C96" s="29" t="s">
        <v>92</v>
      </c>
      <c r="D96" s="30">
        <v>597714</v>
      </c>
      <c r="E96" s="30">
        <v>5852880.4000000004</v>
      </c>
      <c r="F96" s="31">
        <v>24.5</v>
      </c>
      <c r="H96" s="29" t="s">
        <v>116</v>
      </c>
      <c r="I96" s="27" t="s">
        <v>63</v>
      </c>
      <c r="J96" s="31">
        <v>3.32</v>
      </c>
      <c r="K96" s="31">
        <v>4</v>
      </c>
      <c r="L96" s="17">
        <f>F96+J96</f>
        <v>27.82</v>
      </c>
      <c r="M96" s="16">
        <f>F96+K96</f>
        <v>28.5</v>
      </c>
      <c r="N96" s="12">
        <f>(L96+M96)/2</f>
        <v>28.16</v>
      </c>
      <c r="O96" s="11">
        <f>ROUND(N96,0)</f>
        <v>28</v>
      </c>
      <c r="P96" s="13">
        <f>J96</f>
        <v>3.32</v>
      </c>
      <c r="Q96" s="13">
        <f>K96</f>
        <v>4</v>
      </c>
      <c r="R96" s="13">
        <f>P96+F96</f>
        <v>27.82</v>
      </c>
      <c r="S96" s="13">
        <f>F96+Q96</f>
        <v>28.5</v>
      </c>
      <c r="T96" s="13">
        <f>(R96+S96)/2</f>
        <v>28.16</v>
      </c>
      <c r="U96" s="14">
        <f>ROUND(T96,0)</f>
        <v>28</v>
      </c>
      <c r="W96" s="34">
        <v>1</v>
      </c>
      <c r="X96" s="31">
        <v>98.38</v>
      </c>
      <c r="Y96" s="31">
        <v>0.61</v>
      </c>
      <c r="Z96" s="31">
        <v>0.49</v>
      </c>
      <c r="AA96" s="31">
        <v>0.32</v>
      </c>
      <c r="AB96" s="34">
        <v>0.61</v>
      </c>
      <c r="AC96" s="31">
        <v>0.45</v>
      </c>
      <c r="AD96" s="32">
        <v>2.1646999999999998</v>
      </c>
      <c r="AE96" s="33">
        <v>0.18609999999999999</v>
      </c>
      <c r="AF96" s="33">
        <v>0.22189999999999999</v>
      </c>
      <c r="AG96" s="33">
        <v>0.36630000000000001</v>
      </c>
      <c r="AH96" s="33">
        <v>0.40289999999999998</v>
      </c>
      <c r="AI96" s="33">
        <v>0.44309999999999999</v>
      </c>
      <c r="AJ96" s="32">
        <v>2.1328999999999998</v>
      </c>
      <c r="AK96" s="33">
        <v>0.18809999999999999</v>
      </c>
      <c r="AL96" s="33">
        <v>0.2238</v>
      </c>
      <c r="AM96" s="33">
        <v>0.4012</v>
      </c>
      <c r="AN96" s="33">
        <v>0.44069999999999998</v>
      </c>
      <c r="AO96" s="33">
        <v>0.36530000000000001</v>
      </c>
    </row>
    <row r="97" spans="1:41">
      <c r="A97" s="29" t="s">
        <v>109</v>
      </c>
      <c r="B97" s="10">
        <v>2</v>
      </c>
      <c r="C97" s="29" t="s">
        <v>92</v>
      </c>
      <c r="D97" s="30">
        <v>597714</v>
      </c>
      <c r="E97" s="30">
        <v>5852880.4000000004</v>
      </c>
      <c r="F97" s="31">
        <v>24.5</v>
      </c>
      <c r="H97" s="29" t="s">
        <v>114</v>
      </c>
      <c r="I97" s="27" t="s">
        <v>61</v>
      </c>
      <c r="J97" s="31">
        <v>4.0999999999999996</v>
      </c>
      <c r="K97" s="31">
        <v>5</v>
      </c>
      <c r="L97" s="17">
        <f>F97+J97</f>
        <v>28.6</v>
      </c>
      <c r="M97" s="16">
        <f>F97+K97</f>
        <v>29.5</v>
      </c>
      <c r="N97" s="12">
        <f>(L97+M97)/2</f>
        <v>29.05</v>
      </c>
      <c r="O97" s="11">
        <f>ROUND(N97,0)</f>
        <v>29</v>
      </c>
      <c r="P97" s="13">
        <v>4</v>
      </c>
      <c r="Q97" s="13">
        <v>5.0999999999999996</v>
      </c>
      <c r="R97" s="13">
        <f>P97+F97</f>
        <v>28.5</v>
      </c>
      <c r="S97" s="13">
        <f>F97+Q97</f>
        <v>29.6</v>
      </c>
      <c r="T97" s="13">
        <f>(R97+S97)/2</f>
        <v>29.05</v>
      </c>
      <c r="U97" s="14">
        <f>ROUND(T97,0)</f>
        <v>29</v>
      </c>
      <c r="W97" s="34">
        <v>0.1</v>
      </c>
      <c r="X97" s="31">
        <v>99.4</v>
      </c>
      <c r="Y97" s="31">
        <v>0.5</v>
      </c>
      <c r="Z97" s="31">
        <v>0.38</v>
      </c>
      <c r="AA97" s="31">
        <v>0.28999999999999998</v>
      </c>
      <c r="AB97" s="34">
        <v>0.5</v>
      </c>
      <c r="AC97" s="31">
        <v>0.41</v>
      </c>
      <c r="AD97" s="32">
        <v>2.0223</v>
      </c>
      <c r="AE97" s="33">
        <v>0.1807</v>
      </c>
      <c r="AF97" s="33">
        <v>0.20960000000000001</v>
      </c>
      <c r="AG97" s="33">
        <v>0.33160000000000001</v>
      </c>
      <c r="AH97" s="33">
        <v>0.36549999999999999</v>
      </c>
      <c r="AI97" s="33">
        <v>0.40310000000000001</v>
      </c>
      <c r="AJ97" s="32">
        <v>2.0028000000000001</v>
      </c>
      <c r="AK97" s="33">
        <v>0.1827</v>
      </c>
      <c r="AL97" s="33">
        <v>0.2117</v>
      </c>
      <c r="AM97" s="33">
        <v>0.3659</v>
      </c>
      <c r="AN97" s="33">
        <v>0.40329999999999999</v>
      </c>
      <c r="AO97" s="33">
        <v>0.33210000000000001</v>
      </c>
    </row>
    <row r="98" spans="1:41">
      <c r="A98" s="29" t="s">
        <v>109</v>
      </c>
      <c r="B98" s="10">
        <v>2</v>
      </c>
      <c r="C98" s="29" t="s">
        <v>92</v>
      </c>
      <c r="D98" s="30">
        <v>597714</v>
      </c>
      <c r="E98" s="30">
        <v>5852880.4000000004</v>
      </c>
      <c r="F98" s="31">
        <v>24.5</v>
      </c>
      <c r="H98" s="29" t="s">
        <v>115</v>
      </c>
      <c r="I98" s="27" t="s">
        <v>62</v>
      </c>
      <c r="J98" s="31">
        <v>5</v>
      </c>
      <c r="K98" s="31">
        <v>5.0999999999999996</v>
      </c>
      <c r="L98" s="17">
        <f>F98+J98</f>
        <v>29.5</v>
      </c>
      <c r="M98" s="16">
        <f>F98+K98</f>
        <v>29.6</v>
      </c>
      <c r="N98" s="12">
        <f>(L98+M98)/2</f>
        <v>29.55</v>
      </c>
      <c r="O98" s="11">
        <f>ROUND(N98,0)</f>
        <v>30</v>
      </c>
      <c r="P98" s="13">
        <f>J98</f>
        <v>5</v>
      </c>
      <c r="Q98" s="13">
        <f>K98</f>
        <v>5.0999999999999996</v>
      </c>
      <c r="R98" s="13">
        <f>P98+F98</f>
        <v>29.5</v>
      </c>
      <c r="S98" s="13">
        <f>F98+Q98</f>
        <v>29.6</v>
      </c>
      <c r="T98" s="13">
        <f>(R98+S98)/2</f>
        <v>29.55</v>
      </c>
      <c r="U98" s="14">
        <f>ROUND(T98,0)</f>
        <v>30</v>
      </c>
      <c r="W98" s="34">
        <v>0.02</v>
      </c>
      <c r="X98" s="31">
        <v>98.8</v>
      </c>
      <c r="Y98" s="31">
        <v>1.17</v>
      </c>
      <c r="Z98" s="31">
        <v>1.08</v>
      </c>
      <c r="AA98" s="31">
        <v>0.57999999999999996</v>
      </c>
      <c r="AB98" s="34">
        <v>1.17</v>
      </c>
      <c r="AC98" s="31">
        <v>0.68</v>
      </c>
      <c r="AD98" s="32">
        <v>2.1848000000000001</v>
      </c>
      <c r="AE98" s="33">
        <v>0.1429</v>
      </c>
      <c r="AF98" s="33">
        <v>0.16009999999999999</v>
      </c>
      <c r="AG98" s="33">
        <v>0.28389999999999999</v>
      </c>
      <c r="AH98" s="33">
        <v>0.31219999999999998</v>
      </c>
      <c r="AI98" s="33">
        <v>0.34339999999999998</v>
      </c>
      <c r="AJ98" s="32">
        <v>2.1598999999999999</v>
      </c>
      <c r="AK98" s="33">
        <v>0.1449</v>
      </c>
      <c r="AL98" s="33">
        <v>0.16220000000000001</v>
      </c>
      <c r="AM98" s="33">
        <v>0.313</v>
      </c>
      <c r="AN98" s="33">
        <v>0.34399999999999997</v>
      </c>
      <c r="AO98" s="33">
        <v>0.2848</v>
      </c>
    </row>
    <row r="99" spans="1:41">
      <c r="A99" s="29" t="s">
        <v>110</v>
      </c>
      <c r="B99" s="10">
        <v>2</v>
      </c>
      <c r="C99" s="29" t="s">
        <v>93</v>
      </c>
      <c r="D99" s="30">
        <v>598906.69999999995</v>
      </c>
      <c r="E99" s="30">
        <v>5851476</v>
      </c>
      <c r="F99" s="31">
        <v>24.3</v>
      </c>
      <c r="H99" s="29" t="s">
        <v>111</v>
      </c>
      <c r="I99" s="27" t="s">
        <v>65</v>
      </c>
      <c r="J99" s="31">
        <v>0.1</v>
      </c>
      <c r="K99" s="31">
        <v>0.55000000000000004</v>
      </c>
      <c r="L99" s="17">
        <f>F99+J99</f>
        <v>24.400000000000002</v>
      </c>
      <c r="M99" s="16">
        <f>F99+K99</f>
        <v>24.85</v>
      </c>
      <c r="N99" s="12">
        <f>(L99+M99)/2</f>
        <v>24.625</v>
      </c>
      <c r="O99" s="11">
        <f>ROUND(N99,0)</f>
        <v>25</v>
      </c>
      <c r="P99" s="13">
        <v>0</v>
      </c>
      <c r="Q99" s="13">
        <f>K99</f>
        <v>0.55000000000000004</v>
      </c>
      <c r="R99" s="13">
        <f>P99+F99</f>
        <v>24.3</v>
      </c>
      <c r="S99" s="13">
        <f>F99+Q99</f>
        <v>24.85</v>
      </c>
      <c r="T99" s="13">
        <f>(R99+S99)/2</f>
        <v>24.575000000000003</v>
      </c>
      <c r="U99" s="14">
        <f>ROUND(T99,0)</f>
        <v>25</v>
      </c>
      <c r="W99" s="34">
        <v>0.03</v>
      </c>
      <c r="X99" s="31">
        <v>99.07</v>
      </c>
      <c r="Y99" s="31">
        <v>0.91</v>
      </c>
      <c r="Z99" s="31">
        <v>0.63</v>
      </c>
      <c r="AA99" s="31">
        <v>0.47</v>
      </c>
      <c r="AB99" s="34">
        <v>0.91</v>
      </c>
      <c r="AC99" s="31">
        <v>0.74</v>
      </c>
      <c r="AD99" s="32">
        <v>1.8102</v>
      </c>
      <c r="AE99" s="33">
        <v>0.14929999999999999</v>
      </c>
      <c r="AF99" s="33">
        <v>0.1696</v>
      </c>
      <c r="AG99" s="33">
        <v>0.24099999999999999</v>
      </c>
      <c r="AH99" s="33">
        <v>0.2702</v>
      </c>
      <c r="AI99" s="33">
        <v>0.30840000000000001</v>
      </c>
      <c r="AJ99" s="32">
        <v>1.7863</v>
      </c>
      <c r="AK99" s="33">
        <v>0.15179999999999999</v>
      </c>
      <c r="AL99" s="33">
        <v>0.1724</v>
      </c>
      <c r="AM99" s="33">
        <v>0.2712</v>
      </c>
      <c r="AN99" s="33">
        <v>0.30919999999999997</v>
      </c>
      <c r="AO99" s="33">
        <v>0.24179999999999999</v>
      </c>
    </row>
    <row r="100" spans="1:41">
      <c r="A100" s="29" t="s">
        <v>110</v>
      </c>
      <c r="B100" s="10">
        <v>2</v>
      </c>
      <c r="C100" s="29" t="s">
        <v>93</v>
      </c>
      <c r="D100" s="30">
        <v>598906.69999999995</v>
      </c>
      <c r="E100" s="30">
        <v>5851476</v>
      </c>
      <c r="F100" s="31">
        <v>24.3</v>
      </c>
      <c r="H100" s="29" t="s">
        <v>111</v>
      </c>
      <c r="I100" s="27" t="s">
        <v>58</v>
      </c>
      <c r="J100" s="31">
        <v>0.55000000000000004</v>
      </c>
      <c r="K100" s="31">
        <v>1</v>
      </c>
      <c r="L100" s="17">
        <f>F100+J100</f>
        <v>24.85</v>
      </c>
      <c r="M100" s="16">
        <f>F100+K100</f>
        <v>25.3</v>
      </c>
      <c r="N100" s="12">
        <f>(L100+M100)/2</f>
        <v>25.075000000000003</v>
      </c>
      <c r="O100" s="11">
        <f>ROUND(N100,0)</f>
        <v>25</v>
      </c>
      <c r="P100" s="13">
        <f>J100</f>
        <v>0.55000000000000004</v>
      </c>
      <c r="Q100" s="13">
        <f>K100</f>
        <v>1</v>
      </c>
      <c r="R100" s="13">
        <f>P100+F100</f>
        <v>24.85</v>
      </c>
      <c r="S100" s="13">
        <f>F100+Q100</f>
        <v>25.3</v>
      </c>
      <c r="T100" s="13">
        <f>(R100+S100)/2</f>
        <v>25.075000000000003</v>
      </c>
      <c r="U100" s="14">
        <f>ROUND(T100,0)</f>
        <v>25</v>
      </c>
      <c r="W100" s="34">
        <v>0.05</v>
      </c>
      <c r="X100" s="31">
        <v>98.87</v>
      </c>
      <c r="Y100" s="31">
        <v>1.08</v>
      </c>
      <c r="Z100" s="31">
        <v>0.9</v>
      </c>
      <c r="AA100" s="31">
        <v>0.48</v>
      </c>
      <c r="AB100" s="34">
        <v>1.08</v>
      </c>
      <c r="AC100" s="31">
        <v>0.66</v>
      </c>
      <c r="AD100" s="32">
        <v>1.8492</v>
      </c>
      <c r="AE100" s="33">
        <v>0.1522</v>
      </c>
      <c r="AF100" s="33">
        <v>0.17480000000000001</v>
      </c>
      <c r="AG100" s="33">
        <v>0.24890000000000001</v>
      </c>
      <c r="AH100" s="33">
        <v>0.28139999999999998</v>
      </c>
      <c r="AI100" s="33">
        <v>0.31850000000000001</v>
      </c>
      <c r="AJ100" s="32">
        <v>1.8245</v>
      </c>
      <c r="AK100" s="33">
        <v>0.1547</v>
      </c>
      <c r="AL100" s="33">
        <v>0.17749999999999999</v>
      </c>
      <c r="AM100" s="33">
        <v>0.28220000000000001</v>
      </c>
      <c r="AN100" s="33">
        <v>0.31919999999999998</v>
      </c>
      <c r="AO100" s="33">
        <v>0.24959999999999999</v>
      </c>
    </row>
    <row r="101" spans="1:41">
      <c r="A101" s="29" t="s">
        <v>110</v>
      </c>
      <c r="B101" s="10">
        <v>2</v>
      </c>
      <c r="C101" s="29" t="s">
        <v>93</v>
      </c>
      <c r="D101" s="30">
        <v>598906.69999999995</v>
      </c>
      <c r="E101" s="30">
        <v>5851476</v>
      </c>
      <c r="F101" s="31">
        <v>24.3</v>
      </c>
      <c r="H101" s="29" t="s">
        <v>112</v>
      </c>
      <c r="I101" s="27" t="s">
        <v>59</v>
      </c>
      <c r="J101" s="31">
        <v>1.04</v>
      </c>
      <c r="K101" s="31">
        <v>2</v>
      </c>
      <c r="L101" s="17">
        <f>F101+J101</f>
        <v>25.34</v>
      </c>
      <c r="M101" s="16">
        <f>F101+K101</f>
        <v>26.3</v>
      </c>
      <c r="N101" s="12">
        <f>(L101+M101)/2</f>
        <v>25.82</v>
      </c>
      <c r="O101" s="11">
        <f>ROUND(N101,0)</f>
        <v>26</v>
      </c>
      <c r="P101" s="13">
        <v>1</v>
      </c>
      <c r="Q101" s="13">
        <f>K101</f>
        <v>2</v>
      </c>
      <c r="R101" s="13">
        <f>P101+F101</f>
        <v>25.3</v>
      </c>
      <c r="S101" s="13">
        <f>F101+Q101</f>
        <v>26.3</v>
      </c>
      <c r="T101" s="13">
        <f>(R101+S101)/2</f>
        <v>25.8</v>
      </c>
      <c r="U101" s="14">
        <f>ROUND(T101,0)</f>
        <v>26</v>
      </c>
      <c r="W101" s="34">
        <v>1.07</v>
      </c>
      <c r="X101" s="31">
        <v>98.05</v>
      </c>
      <c r="Y101" s="31">
        <v>0.88</v>
      </c>
      <c r="Z101" s="31">
        <v>0.72</v>
      </c>
      <c r="AA101" s="31">
        <v>0.42</v>
      </c>
      <c r="AB101" s="34">
        <v>0.88</v>
      </c>
      <c r="AC101" s="31">
        <v>0.57999999999999996</v>
      </c>
      <c r="AD101" s="32">
        <v>1.8622000000000001</v>
      </c>
      <c r="AE101" s="33">
        <v>0.15970000000000001</v>
      </c>
      <c r="AF101" s="33">
        <v>0.18260000000000001</v>
      </c>
      <c r="AG101" s="33">
        <v>0.26490000000000002</v>
      </c>
      <c r="AH101" s="33">
        <v>0.29749999999999999</v>
      </c>
      <c r="AI101" s="33">
        <v>0.33410000000000001</v>
      </c>
      <c r="AJ101" s="32">
        <v>1.8283</v>
      </c>
      <c r="AK101" s="33">
        <v>0.16189999999999999</v>
      </c>
      <c r="AL101" s="33">
        <v>0.1832</v>
      </c>
      <c r="AM101" s="33">
        <v>0.29599999999999999</v>
      </c>
      <c r="AN101" s="33">
        <v>0.33179999999999998</v>
      </c>
      <c r="AO101" s="33">
        <v>0.2641</v>
      </c>
    </row>
    <row r="102" spans="1:41">
      <c r="A102" s="29" t="s">
        <v>110</v>
      </c>
      <c r="B102" s="10">
        <v>2</v>
      </c>
      <c r="C102" s="29" t="s">
        <v>93</v>
      </c>
      <c r="D102" s="30">
        <v>598906.69999999995</v>
      </c>
      <c r="E102" s="30">
        <v>5851476</v>
      </c>
      <c r="F102" s="31">
        <v>24.3</v>
      </c>
      <c r="H102" s="29" t="s">
        <v>113</v>
      </c>
      <c r="I102" s="27" t="s">
        <v>60</v>
      </c>
      <c r="J102" s="31">
        <v>2.2000000000000002</v>
      </c>
      <c r="K102" s="31">
        <v>3</v>
      </c>
      <c r="L102" s="17">
        <f>F102+J102</f>
        <v>26.5</v>
      </c>
      <c r="M102" s="16">
        <f>F102+K102</f>
        <v>27.3</v>
      </c>
      <c r="N102" s="12">
        <f>(L102+M102)/2</f>
        <v>26.9</v>
      </c>
      <c r="O102" s="11">
        <f>ROUND(N102,0)</f>
        <v>27</v>
      </c>
      <c r="P102" s="13">
        <v>2</v>
      </c>
      <c r="Q102" s="13">
        <f>K102</f>
        <v>3</v>
      </c>
      <c r="R102" s="13">
        <f>P102+F102</f>
        <v>26.3</v>
      </c>
      <c r="S102" s="13">
        <f>F102+Q102</f>
        <v>27.3</v>
      </c>
      <c r="T102" s="13">
        <f>(R102+S102)/2</f>
        <v>26.8</v>
      </c>
      <c r="U102" s="14">
        <f>ROUND(T102,0)</f>
        <v>27</v>
      </c>
      <c r="W102" s="34">
        <v>0.2</v>
      </c>
      <c r="X102" s="31">
        <v>98.83</v>
      </c>
      <c r="Y102" s="31">
        <v>0.96</v>
      </c>
      <c r="Z102" s="31">
        <v>0.79</v>
      </c>
      <c r="AA102" s="31">
        <v>0.55000000000000004</v>
      </c>
      <c r="AB102" s="34">
        <v>0.96</v>
      </c>
      <c r="AC102" s="31">
        <v>0.73</v>
      </c>
      <c r="AD102" s="32">
        <v>2.1009000000000002</v>
      </c>
      <c r="AE102" s="33">
        <v>0.15049999999999999</v>
      </c>
      <c r="AF102" s="33">
        <v>0.17449999999999999</v>
      </c>
      <c r="AG102" s="33">
        <v>0.29139999999999999</v>
      </c>
      <c r="AH102" s="33">
        <v>0.31609999999999999</v>
      </c>
      <c r="AI102" s="33">
        <v>0.34279999999999999</v>
      </c>
      <c r="AJ102" s="32">
        <v>2.0644999999999998</v>
      </c>
      <c r="AK102" s="33">
        <v>0.15329999999999999</v>
      </c>
      <c r="AL102" s="33">
        <v>0.17749999999999999</v>
      </c>
      <c r="AM102" s="33">
        <v>0.3165</v>
      </c>
      <c r="AN102" s="33">
        <v>0.34300000000000003</v>
      </c>
      <c r="AO102" s="33">
        <v>0.29210000000000003</v>
      </c>
    </row>
    <row r="103" spans="1:41">
      <c r="A103" s="29" t="s">
        <v>110</v>
      </c>
      <c r="B103" s="10">
        <v>2</v>
      </c>
      <c r="C103" s="29" t="s">
        <v>93</v>
      </c>
      <c r="D103" s="30">
        <v>598906.69999999995</v>
      </c>
      <c r="E103" s="30">
        <v>5851476</v>
      </c>
      <c r="F103" s="31">
        <v>24.3</v>
      </c>
      <c r="H103" s="29" t="s">
        <v>114</v>
      </c>
      <c r="I103" s="27" t="s">
        <v>61</v>
      </c>
      <c r="J103" s="31">
        <v>4.1100000000000003</v>
      </c>
      <c r="K103" s="31">
        <v>5</v>
      </c>
      <c r="L103" s="17">
        <f>F103+J103</f>
        <v>28.41</v>
      </c>
      <c r="M103" s="16">
        <f>F103+K103</f>
        <v>29.3</v>
      </c>
      <c r="N103" s="12">
        <f>(L103+M103)/2</f>
        <v>28.855</v>
      </c>
      <c r="O103" s="11">
        <f>ROUND(N103,0)</f>
        <v>29</v>
      </c>
      <c r="P103" s="13">
        <v>3</v>
      </c>
      <c r="Q103" s="13">
        <f>K103</f>
        <v>5</v>
      </c>
      <c r="R103" s="13">
        <f>P103+F103</f>
        <v>27.3</v>
      </c>
      <c r="S103" s="13">
        <f>F103+Q103</f>
        <v>29.3</v>
      </c>
      <c r="T103" s="13">
        <f>(R103+S103)/2</f>
        <v>28.3</v>
      </c>
      <c r="U103" s="14">
        <f>ROUND(T103,0)</f>
        <v>28</v>
      </c>
      <c r="W103" s="34">
        <v>0.02</v>
      </c>
      <c r="X103" s="31">
        <v>99.53</v>
      </c>
      <c r="Y103" s="31">
        <v>0.45</v>
      </c>
      <c r="Z103" s="31">
        <v>0.37</v>
      </c>
      <c r="AA103" s="31">
        <v>0.32</v>
      </c>
      <c r="AB103" s="34">
        <v>0.45</v>
      </c>
      <c r="AC103" s="31">
        <v>0.4</v>
      </c>
      <c r="AD103" s="32">
        <v>1.6019000000000001</v>
      </c>
      <c r="AE103" s="33">
        <v>0.1986</v>
      </c>
      <c r="AF103" s="33">
        <v>0.22270000000000001</v>
      </c>
      <c r="AG103" s="33">
        <v>0.29959999999999998</v>
      </c>
      <c r="AH103" s="33">
        <v>0.31819999999999998</v>
      </c>
      <c r="AI103" s="33">
        <v>0.33800000000000002</v>
      </c>
      <c r="AJ103" s="32">
        <v>1.5904</v>
      </c>
      <c r="AK103" s="33">
        <v>0.20030000000000001</v>
      </c>
      <c r="AL103" s="33">
        <v>0.22439999999999999</v>
      </c>
      <c r="AM103" s="33">
        <v>0.31850000000000001</v>
      </c>
      <c r="AN103" s="33">
        <v>0.33829999999999999</v>
      </c>
      <c r="AO103" s="33">
        <v>0.2999</v>
      </c>
    </row>
    <row r="104" spans="1:41">
      <c r="A104" s="29" t="s">
        <v>110</v>
      </c>
      <c r="B104" s="10">
        <v>2</v>
      </c>
      <c r="C104" s="29" t="s">
        <v>93</v>
      </c>
      <c r="D104" s="30">
        <v>598906.69999999995</v>
      </c>
      <c r="E104" s="30">
        <v>5851476</v>
      </c>
      <c r="F104" s="31">
        <v>24.3</v>
      </c>
      <c r="H104" s="29" t="s">
        <v>115</v>
      </c>
      <c r="I104" s="27" t="s">
        <v>62</v>
      </c>
      <c r="J104" s="31">
        <v>5</v>
      </c>
      <c r="K104" s="31">
        <v>5.5</v>
      </c>
      <c r="L104" s="17">
        <f>F104+J104</f>
        <v>29.3</v>
      </c>
      <c r="M104" s="16">
        <f>F104+K104</f>
        <v>29.8</v>
      </c>
      <c r="N104" s="12">
        <f>(L104+M104)/2</f>
        <v>29.55</v>
      </c>
      <c r="O104" s="11">
        <f>ROUND(N104,0)</f>
        <v>30</v>
      </c>
      <c r="P104" s="13">
        <f>J104</f>
        <v>5</v>
      </c>
      <c r="Q104" s="13">
        <f>K104</f>
        <v>5.5</v>
      </c>
      <c r="R104" s="13">
        <f>P104+F104</f>
        <v>29.3</v>
      </c>
      <c r="S104" s="13">
        <f>F104+Q104</f>
        <v>29.8</v>
      </c>
      <c r="T104" s="13">
        <f>(R104+S104)/2</f>
        <v>29.55</v>
      </c>
      <c r="U104" s="14">
        <f>ROUND(T104,0)</f>
        <v>30</v>
      </c>
      <c r="W104" s="34">
        <v>0</v>
      </c>
      <c r="X104" s="31">
        <v>99.08</v>
      </c>
      <c r="Y104" s="31">
        <v>0.92</v>
      </c>
      <c r="Z104" s="31">
        <v>0.83</v>
      </c>
      <c r="AA104" s="31">
        <v>0.43</v>
      </c>
      <c r="AB104" s="34">
        <v>0.92</v>
      </c>
      <c r="AC104" s="31">
        <v>0.52</v>
      </c>
      <c r="AD104" s="32">
        <v>1.6812</v>
      </c>
      <c r="AE104" s="33">
        <v>0.17660000000000001</v>
      </c>
      <c r="AF104" s="33">
        <v>0.19289999999999999</v>
      </c>
      <c r="AG104" s="33">
        <v>0.27910000000000001</v>
      </c>
      <c r="AH104" s="33">
        <v>0.2969</v>
      </c>
      <c r="AI104" s="33">
        <v>0.316</v>
      </c>
      <c r="AJ104" s="32">
        <v>1.6500999999999999</v>
      </c>
      <c r="AK104" s="33">
        <v>0.1802</v>
      </c>
      <c r="AL104" s="33">
        <v>0.19420000000000001</v>
      </c>
      <c r="AM104" s="33">
        <v>0.29730000000000001</v>
      </c>
      <c r="AN104" s="33">
        <v>0.31630000000000003</v>
      </c>
      <c r="AO104" s="33">
        <v>0.27950000000000003</v>
      </c>
    </row>
    <row r="105" spans="1:41" ht="17">
      <c r="A105" t="s">
        <v>121</v>
      </c>
      <c r="B105">
        <v>1</v>
      </c>
      <c r="D105" s="23">
        <v>597569</v>
      </c>
      <c r="E105" s="23">
        <v>5851562</v>
      </c>
      <c r="F105">
        <v>22.5</v>
      </c>
      <c r="I105" s="27" t="s">
        <v>65</v>
      </c>
      <c r="J105">
        <v>0</v>
      </c>
      <c r="K105">
        <v>0.06</v>
      </c>
      <c r="L105" s="17">
        <f>F105+J105</f>
        <v>22.5</v>
      </c>
      <c r="M105" s="16">
        <f>F105+K105</f>
        <v>22.56</v>
      </c>
      <c r="N105" s="12">
        <f>(L105+M105)/2</f>
        <v>22.53</v>
      </c>
      <c r="O105" s="11">
        <f>ROUND(N105,0)</f>
        <v>23</v>
      </c>
      <c r="P105" s="13">
        <f>J105</f>
        <v>0</v>
      </c>
      <c r="Q105" s="13">
        <f>K105</f>
        <v>0.06</v>
      </c>
      <c r="R105" s="13">
        <f>P105+F105</f>
        <v>22.5</v>
      </c>
      <c r="S105" s="13">
        <f>F105+Q105</f>
        <v>22.56</v>
      </c>
      <c r="T105" s="13">
        <f>(R105+S105)/2</f>
        <v>22.53</v>
      </c>
      <c r="U105" s="14">
        <f>ROUND(T105,0)</f>
        <v>23</v>
      </c>
      <c r="W105" s="47"/>
      <c r="AB105" s="47"/>
      <c r="AD105" s="47"/>
      <c r="AG105" s="20">
        <v>0.26</v>
      </c>
      <c r="AJ105" s="47"/>
    </row>
    <row r="106" spans="1:41" ht="17">
      <c r="A106" t="s">
        <v>121</v>
      </c>
      <c r="B106">
        <v>1</v>
      </c>
      <c r="D106" s="23">
        <v>597569</v>
      </c>
      <c r="E106" s="23">
        <v>5851562</v>
      </c>
      <c r="F106">
        <v>22.5</v>
      </c>
      <c r="I106" s="27" t="s">
        <v>65</v>
      </c>
      <c r="J106">
        <v>0.06</v>
      </c>
      <c r="K106">
        <v>0.35</v>
      </c>
      <c r="L106" s="17">
        <f>F106+J106</f>
        <v>22.56</v>
      </c>
      <c r="M106" s="16">
        <f>F106+K106</f>
        <v>22.85</v>
      </c>
      <c r="N106" s="12">
        <f>(L106+M106)/2</f>
        <v>22.704999999999998</v>
      </c>
      <c r="O106" s="11">
        <f>ROUND(N106,0)</f>
        <v>23</v>
      </c>
      <c r="P106" s="13">
        <f>J106</f>
        <v>0.06</v>
      </c>
      <c r="Q106" s="13">
        <f>K106</f>
        <v>0.35</v>
      </c>
      <c r="R106" s="13">
        <f>P106+F106</f>
        <v>22.56</v>
      </c>
      <c r="S106" s="13">
        <f>F106+Q106</f>
        <v>22.85</v>
      </c>
      <c r="T106" s="13">
        <f>(R106+S106)/2</f>
        <v>22.704999999999998</v>
      </c>
      <c r="U106" s="14">
        <f>ROUND(T106,0)</f>
        <v>23</v>
      </c>
      <c r="W106" s="47"/>
      <c r="AB106" s="47"/>
      <c r="AD106" s="47"/>
      <c r="AG106" s="20">
        <v>0.25</v>
      </c>
      <c r="AJ106" s="47"/>
    </row>
    <row r="107" spans="1:41" ht="17">
      <c r="A107" t="s">
        <v>121</v>
      </c>
      <c r="B107">
        <v>1</v>
      </c>
      <c r="D107" s="23">
        <v>597569</v>
      </c>
      <c r="E107" s="23">
        <v>5851562</v>
      </c>
      <c r="F107">
        <v>22.5</v>
      </c>
      <c r="I107" s="27" t="s">
        <v>65</v>
      </c>
      <c r="J107">
        <v>0.35</v>
      </c>
      <c r="K107">
        <v>0.54</v>
      </c>
      <c r="L107" s="17">
        <f>F107+J107</f>
        <v>22.85</v>
      </c>
      <c r="M107" s="16">
        <f>F107+K107</f>
        <v>23.04</v>
      </c>
      <c r="N107" s="12">
        <f>(L107+M107)/2</f>
        <v>22.945</v>
      </c>
      <c r="O107" s="11">
        <f>ROUND(N107,0)</f>
        <v>23</v>
      </c>
      <c r="P107" s="13">
        <f>J107</f>
        <v>0.35</v>
      </c>
      <c r="Q107" s="13">
        <f>K107</f>
        <v>0.54</v>
      </c>
      <c r="R107" s="13">
        <f>P107+F107</f>
        <v>22.85</v>
      </c>
      <c r="S107" s="13">
        <f>F107+Q107</f>
        <v>23.04</v>
      </c>
      <c r="T107" s="13">
        <f>(R107+S107)/2</f>
        <v>22.945</v>
      </c>
      <c r="U107" s="14">
        <f>ROUND(T107,0)</f>
        <v>23</v>
      </c>
      <c r="W107" s="47"/>
      <c r="AA107">
        <v>1</v>
      </c>
      <c r="AB107" s="47"/>
      <c r="AD107" s="47"/>
      <c r="AG107" s="20">
        <v>0.2</v>
      </c>
      <c r="AJ107" s="47"/>
    </row>
    <row r="108" spans="1:41" ht="17">
      <c r="A108" t="s">
        <v>121</v>
      </c>
      <c r="B108">
        <v>1</v>
      </c>
      <c r="D108" s="23">
        <v>597569</v>
      </c>
      <c r="E108" s="23">
        <v>5851562</v>
      </c>
      <c r="F108">
        <v>22.5</v>
      </c>
      <c r="I108" s="27" t="s">
        <v>60</v>
      </c>
      <c r="J108">
        <v>0.54</v>
      </c>
      <c r="K108">
        <v>3</v>
      </c>
      <c r="L108" s="17">
        <f>F108+J108</f>
        <v>23.04</v>
      </c>
      <c r="M108" s="16">
        <f>F108+K108</f>
        <v>25.5</v>
      </c>
      <c r="N108" s="12">
        <f>(L108+M108)/2</f>
        <v>24.27</v>
      </c>
      <c r="O108" s="11">
        <f>ROUND(N108,0)</f>
        <v>24</v>
      </c>
      <c r="P108" s="13">
        <f>J108</f>
        <v>0.54</v>
      </c>
      <c r="Q108" s="13">
        <f>K108</f>
        <v>3</v>
      </c>
      <c r="R108" s="13">
        <f>P108+F108</f>
        <v>23.04</v>
      </c>
      <c r="S108" s="13">
        <f>F108+Q108</f>
        <v>25.5</v>
      </c>
      <c r="T108" s="13">
        <f>(R108+S108)/2</f>
        <v>24.27</v>
      </c>
      <c r="U108" s="14">
        <f>ROUND(T108,0)</f>
        <v>24</v>
      </c>
      <c r="W108" s="47"/>
      <c r="AA108">
        <v>1</v>
      </c>
      <c r="AB108" s="47"/>
      <c r="AD108" s="47"/>
      <c r="AG108" s="20">
        <v>0.27</v>
      </c>
      <c r="AJ108" s="47"/>
    </row>
    <row r="109" spans="1:41" ht="17">
      <c r="A109" t="s">
        <v>121</v>
      </c>
      <c r="B109">
        <v>1</v>
      </c>
      <c r="D109" s="23">
        <v>597569</v>
      </c>
      <c r="E109" s="23">
        <v>5851562</v>
      </c>
      <c r="F109">
        <v>22.5</v>
      </c>
      <c r="I109" s="27" t="s">
        <v>63</v>
      </c>
      <c r="J109">
        <v>3</v>
      </c>
      <c r="K109">
        <v>3.61</v>
      </c>
      <c r="L109" s="17">
        <f>F109+J109</f>
        <v>25.5</v>
      </c>
      <c r="M109" s="16">
        <f>F109+K109</f>
        <v>26.11</v>
      </c>
      <c r="N109" s="12">
        <f>(L109+M109)/2</f>
        <v>25.805</v>
      </c>
      <c r="O109" s="11">
        <f>ROUND(N109,0)</f>
        <v>26</v>
      </c>
      <c r="P109" s="13">
        <f>J109</f>
        <v>3</v>
      </c>
      <c r="Q109" s="13">
        <f>K109</f>
        <v>3.61</v>
      </c>
      <c r="R109" s="13">
        <f>P109+F109</f>
        <v>25.5</v>
      </c>
      <c r="S109" s="13">
        <f>F109+Q109</f>
        <v>26.11</v>
      </c>
      <c r="T109" s="13">
        <f>(R109+S109)/2</f>
        <v>25.805</v>
      </c>
      <c r="U109" s="14">
        <f>ROUND(T109,0)</f>
        <v>26</v>
      </c>
      <c r="W109" s="47"/>
      <c r="AA109">
        <v>1</v>
      </c>
      <c r="AB109" s="47"/>
      <c r="AD109" s="47"/>
      <c r="AG109" s="20">
        <v>0.2</v>
      </c>
      <c r="AJ109" s="47"/>
    </row>
    <row r="110" spans="1:41" ht="17">
      <c r="A110" t="s">
        <v>121</v>
      </c>
      <c r="B110">
        <v>1</v>
      </c>
      <c r="D110" s="23">
        <v>597569</v>
      </c>
      <c r="E110" s="23">
        <v>5851562</v>
      </c>
      <c r="F110">
        <v>22.5</v>
      </c>
      <c r="I110" s="27" t="s">
        <v>63</v>
      </c>
      <c r="J110">
        <v>3.61</v>
      </c>
      <c r="K110">
        <v>3.9</v>
      </c>
      <c r="L110" s="17">
        <f>F110+J110</f>
        <v>26.11</v>
      </c>
      <c r="M110" s="16">
        <f>F110+K110</f>
        <v>26.4</v>
      </c>
      <c r="N110" s="12">
        <f>(L110+M110)/2</f>
        <v>26.254999999999999</v>
      </c>
      <c r="O110" s="11">
        <f>ROUND(N110,0)</f>
        <v>26</v>
      </c>
      <c r="P110" s="13">
        <f>J110</f>
        <v>3.61</v>
      </c>
      <c r="Q110" s="13">
        <f>K110</f>
        <v>3.9</v>
      </c>
      <c r="R110" s="13">
        <f>P110+F110</f>
        <v>26.11</v>
      </c>
      <c r="S110" s="13">
        <f>F110+Q110</f>
        <v>26.4</v>
      </c>
      <c r="T110" s="13">
        <f>(R110+S110)/2</f>
        <v>26.254999999999999</v>
      </c>
      <c r="U110" s="14">
        <f>ROUND(T110,0)</f>
        <v>26</v>
      </c>
      <c r="W110" s="47"/>
      <c r="AA110">
        <v>2</v>
      </c>
      <c r="AB110" s="47"/>
      <c r="AD110" s="47"/>
      <c r="AG110" s="20">
        <v>0.22</v>
      </c>
      <c r="AJ110" s="47"/>
    </row>
    <row r="111" spans="1:41" ht="17">
      <c r="A111" t="s">
        <v>121</v>
      </c>
      <c r="B111">
        <v>1</v>
      </c>
      <c r="D111" s="23">
        <v>597569</v>
      </c>
      <c r="E111" s="23">
        <v>5851562</v>
      </c>
      <c r="F111">
        <v>22.5</v>
      </c>
      <c r="I111" s="27" t="s">
        <v>63</v>
      </c>
      <c r="J111">
        <v>3.9</v>
      </c>
      <c r="K111">
        <v>4</v>
      </c>
      <c r="L111" s="17">
        <f>F111+J111</f>
        <v>26.4</v>
      </c>
      <c r="M111" s="16">
        <f>F111+K111</f>
        <v>26.5</v>
      </c>
      <c r="N111" s="12">
        <f>(L111+M111)/2</f>
        <v>26.45</v>
      </c>
      <c r="O111" s="11">
        <f>ROUND(N111,0)</f>
        <v>26</v>
      </c>
      <c r="P111" s="13">
        <f>J111</f>
        <v>3.9</v>
      </c>
      <c r="Q111" s="13">
        <f>K111</f>
        <v>4</v>
      </c>
      <c r="R111" s="13">
        <f>P111+F111</f>
        <v>26.4</v>
      </c>
      <c r="S111" s="13">
        <f>F111+Q111</f>
        <v>26.5</v>
      </c>
      <c r="T111" s="13">
        <f>(R111+S111)/2</f>
        <v>26.45</v>
      </c>
      <c r="U111" s="14">
        <f>ROUND(T111,0)</f>
        <v>26</v>
      </c>
      <c r="W111" s="47"/>
      <c r="AB111" s="47"/>
      <c r="AD111" s="47"/>
      <c r="AG111" s="20">
        <v>0.33</v>
      </c>
      <c r="AJ111" s="47"/>
    </row>
    <row r="112" spans="1:41" ht="17">
      <c r="A112" t="s">
        <v>121</v>
      </c>
      <c r="B112">
        <v>1</v>
      </c>
      <c r="D112" s="23">
        <v>597569</v>
      </c>
      <c r="E112" s="23">
        <v>5851562</v>
      </c>
      <c r="F112">
        <v>22.5</v>
      </c>
      <c r="I112" s="19" t="s">
        <v>61</v>
      </c>
      <c r="J112">
        <v>4</v>
      </c>
      <c r="K112">
        <v>4.62</v>
      </c>
      <c r="L112" s="17">
        <f>F112+J112</f>
        <v>26.5</v>
      </c>
      <c r="M112" s="16">
        <f>F112+K112</f>
        <v>27.12</v>
      </c>
      <c r="N112" s="12">
        <f>(L112+M112)/2</f>
        <v>26.810000000000002</v>
      </c>
      <c r="O112" s="11">
        <f>ROUND(N112,0)</f>
        <v>27</v>
      </c>
      <c r="P112" s="13">
        <f>J112</f>
        <v>4</v>
      </c>
      <c r="Q112" s="13">
        <f>K112</f>
        <v>4.62</v>
      </c>
      <c r="R112" s="13">
        <f>P112+F112</f>
        <v>26.5</v>
      </c>
      <c r="S112" s="13">
        <f>F112+Q112</f>
        <v>27.12</v>
      </c>
      <c r="T112" s="13">
        <f>(R112+S112)/2</f>
        <v>26.810000000000002</v>
      </c>
      <c r="U112" s="14">
        <f>ROUND(T112,0)</f>
        <v>27</v>
      </c>
      <c r="W112" s="47"/>
      <c r="AA112">
        <v>2</v>
      </c>
      <c r="AB112" s="47"/>
      <c r="AD112" s="47"/>
      <c r="AG112" s="20">
        <v>0.28999999999999998</v>
      </c>
      <c r="AJ112" s="47"/>
    </row>
    <row r="113" spans="1:36" ht="17">
      <c r="A113" t="s">
        <v>121</v>
      </c>
      <c r="B113">
        <v>1</v>
      </c>
      <c r="D113" s="23">
        <v>597569</v>
      </c>
      <c r="E113" s="23">
        <v>5851562</v>
      </c>
      <c r="F113">
        <v>22.5</v>
      </c>
      <c r="I113" s="19" t="s">
        <v>61</v>
      </c>
      <c r="J113">
        <v>4.62</v>
      </c>
      <c r="K113">
        <v>4.9000000000000004</v>
      </c>
      <c r="L113" s="17">
        <f>F113+J113</f>
        <v>27.12</v>
      </c>
      <c r="M113" s="16">
        <f>F113+K113</f>
        <v>27.4</v>
      </c>
      <c r="N113" s="12">
        <f>(L113+M113)/2</f>
        <v>27.259999999999998</v>
      </c>
      <c r="O113" s="11">
        <f>ROUND(N113,0)</f>
        <v>27</v>
      </c>
      <c r="P113" s="13">
        <f>J113</f>
        <v>4.62</v>
      </c>
      <c r="Q113" s="13">
        <f>K113</f>
        <v>4.9000000000000004</v>
      </c>
      <c r="R113" s="13">
        <f>P113+F113</f>
        <v>27.12</v>
      </c>
      <c r="S113" s="13">
        <f>F113+Q113</f>
        <v>27.4</v>
      </c>
      <c r="T113" s="13">
        <f>(R113+S113)/2</f>
        <v>27.259999999999998</v>
      </c>
      <c r="U113" s="14">
        <f>ROUND(T113,0)</f>
        <v>27</v>
      </c>
      <c r="W113" s="47"/>
      <c r="AA113">
        <v>2</v>
      </c>
      <c r="AB113" s="47"/>
      <c r="AD113" s="47"/>
      <c r="AG113" s="20">
        <v>0.13</v>
      </c>
      <c r="AJ113" s="47"/>
    </row>
    <row r="114" spans="1:36" ht="17">
      <c r="A114" t="s">
        <v>121</v>
      </c>
      <c r="B114">
        <v>1</v>
      </c>
      <c r="D114" s="23">
        <v>597569</v>
      </c>
      <c r="E114" s="23">
        <v>5851562</v>
      </c>
      <c r="F114">
        <v>22.5</v>
      </c>
      <c r="I114" s="19" t="s">
        <v>61</v>
      </c>
      <c r="J114">
        <v>4.9000000000000004</v>
      </c>
      <c r="K114">
        <v>5</v>
      </c>
      <c r="L114" s="17">
        <f t="shared" ref="L114:L118" si="0">F114+J114</f>
        <v>27.4</v>
      </c>
      <c r="M114" s="16">
        <f t="shared" ref="M114:M118" si="1">F114+K114</f>
        <v>27.5</v>
      </c>
      <c r="N114" s="12">
        <f t="shared" ref="N114:N118" si="2">(L114+M114)/2</f>
        <v>27.45</v>
      </c>
      <c r="O114" s="11">
        <f t="shared" ref="O114:O118" si="3">ROUND(N114,0)</f>
        <v>27</v>
      </c>
      <c r="P114" s="13">
        <f t="shared" ref="P114:P118" si="4">J114</f>
        <v>4.9000000000000004</v>
      </c>
      <c r="Q114" s="13">
        <f t="shared" ref="Q114:Q118" si="5">K114</f>
        <v>5</v>
      </c>
      <c r="R114" s="13">
        <f t="shared" ref="R114:R118" si="6">P114+F114</f>
        <v>27.4</v>
      </c>
      <c r="S114" s="13">
        <f t="shared" ref="S114:S118" si="7">F114+Q114</f>
        <v>27.5</v>
      </c>
      <c r="T114" s="13">
        <f t="shared" ref="T114:T118" si="8">(R114+S114)/2</f>
        <v>27.45</v>
      </c>
      <c r="U114" s="14">
        <f t="shared" ref="U114:U118" si="9">ROUND(T114,0)</f>
        <v>27</v>
      </c>
    </row>
    <row r="115" spans="1:36" ht="17">
      <c r="A115" t="s">
        <v>121</v>
      </c>
      <c r="B115">
        <v>1</v>
      </c>
      <c r="D115" s="23">
        <v>597569</v>
      </c>
      <c r="E115" s="23">
        <v>5851562</v>
      </c>
      <c r="F115">
        <v>22.5</v>
      </c>
      <c r="I115" s="19" t="s">
        <v>62</v>
      </c>
      <c r="J115">
        <v>5</v>
      </c>
      <c r="K115">
        <v>5.07</v>
      </c>
      <c r="L115" s="17">
        <f t="shared" si="0"/>
        <v>27.5</v>
      </c>
      <c r="M115" s="16">
        <f t="shared" si="1"/>
        <v>27.57</v>
      </c>
      <c r="N115" s="12">
        <f t="shared" si="2"/>
        <v>27.535</v>
      </c>
      <c r="O115" s="11">
        <f t="shared" si="3"/>
        <v>28</v>
      </c>
      <c r="P115" s="13">
        <f t="shared" si="4"/>
        <v>5</v>
      </c>
      <c r="Q115" s="13">
        <f t="shared" si="5"/>
        <v>5.07</v>
      </c>
      <c r="R115" s="13">
        <f t="shared" si="6"/>
        <v>27.5</v>
      </c>
      <c r="S115" s="13">
        <f t="shared" si="7"/>
        <v>27.57</v>
      </c>
      <c r="T115" s="13">
        <f t="shared" si="8"/>
        <v>27.535</v>
      </c>
      <c r="U115" s="14">
        <f t="shared" si="9"/>
        <v>28</v>
      </c>
      <c r="AA115">
        <v>2</v>
      </c>
      <c r="AG115">
        <v>0.13</v>
      </c>
    </row>
    <row r="116" spans="1:36" ht="17">
      <c r="A116" t="s">
        <v>121</v>
      </c>
      <c r="B116">
        <v>1</v>
      </c>
      <c r="D116" s="23">
        <v>597569</v>
      </c>
      <c r="E116" s="23">
        <v>5851562</v>
      </c>
      <c r="F116">
        <v>22.5</v>
      </c>
      <c r="I116" s="19" t="s">
        <v>62</v>
      </c>
      <c r="J116">
        <v>5.07</v>
      </c>
      <c r="K116">
        <v>5.72</v>
      </c>
      <c r="L116" s="17">
        <f t="shared" si="0"/>
        <v>27.57</v>
      </c>
      <c r="M116" s="16">
        <f t="shared" si="1"/>
        <v>28.22</v>
      </c>
      <c r="N116" s="12">
        <f t="shared" si="2"/>
        <v>27.895</v>
      </c>
      <c r="O116" s="11">
        <f t="shared" si="3"/>
        <v>28</v>
      </c>
      <c r="P116" s="13">
        <f t="shared" si="4"/>
        <v>5.07</v>
      </c>
      <c r="Q116" s="13">
        <f t="shared" si="5"/>
        <v>5.72</v>
      </c>
      <c r="R116" s="13">
        <f t="shared" si="6"/>
        <v>27.57</v>
      </c>
      <c r="S116" s="13">
        <f t="shared" si="7"/>
        <v>28.22</v>
      </c>
      <c r="T116" s="13">
        <f t="shared" si="8"/>
        <v>27.895</v>
      </c>
      <c r="U116" s="14">
        <f t="shared" si="9"/>
        <v>28</v>
      </c>
    </row>
    <row r="117" spans="1:36">
      <c r="L117" s="17"/>
      <c r="M117" s="16"/>
      <c r="N117" s="12"/>
      <c r="O117" s="11"/>
      <c r="P117" s="13"/>
      <c r="Q117" s="13"/>
      <c r="R117" s="13"/>
      <c r="S117" s="13"/>
      <c r="T117" s="13"/>
      <c r="U117" s="14"/>
    </row>
    <row r="118" spans="1:36">
      <c r="L118" s="17"/>
      <c r="M118" s="16"/>
      <c r="N118" s="12"/>
      <c r="O118" s="11"/>
      <c r="P118" s="13"/>
      <c r="Q118" s="13"/>
      <c r="R118" s="13"/>
      <c r="S118" s="13"/>
      <c r="T118" s="13"/>
      <c r="U118" s="14"/>
    </row>
  </sheetData>
  <sortState xmlns:xlrd2="http://schemas.microsoft.com/office/spreadsheetml/2017/richdata2" ref="A2:AR113">
    <sortCondition descending="1" ref="C2:C113"/>
    <sortCondition ref="A2:A113"/>
    <sortCondition ref="J2:J113"/>
  </sortState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3238-F2E7-D14E-9B82-A1B83154327C}">
  <dimension ref="A1:AP237"/>
  <sheetViews>
    <sheetView topLeftCell="N1" workbookViewId="0">
      <pane ySplit="1" topLeftCell="A43" activePane="bottomLeft" state="frozen"/>
      <selection activeCell="P1" sqref="P1"/>
      <selection pane="bottomLeft" activeCell="N2" sqref="A2:XFD116"/>
    </sheetView>
  </sheetViews>
  <sheetFormatPr baseColWidth="10" defaultRowHeight="16"/>
  <cols>
    <col min="1" max="1" width="26.83203125" customWidth="1"/>
    <col min="9" max="9" width="15" bestFit="1" customWidth="1"/>
    <col min="10" max="10" width="10.83203125" style="18"/>
    <col min="11" max="11" width="12.1640625" style="18" bestFit="1" customWidth="1"/>
    <col min="26" max="26" width="30" bestFit="1" customWidth="1"/>
  </cols>
  <sheetData>
    <row r="1" spans="1:41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8" t="s">
        <v>8</v>
      </c>
      <c r="K1" s="18" t="s">
        <v>9</v>
      </c>
      <c r="L1" t="s">
        <v>10</v>
      </c>
      <c r="M1" t="s">
        <v>11</v>
      </c>
      <c r="N1" t="s">
        <v>37</v>
      </c>
      <c r="O1" t="s">
        <v>38</v>
      </c>
      <c r="P1" t="s">
        <v>30</v>
      </c>
      <c r="Q1" t="s">
        <v>31</v>
      </c>
      <c r="R1" t="s">
        <v>32</v>
      </c>
      <c r="S1" t="s">
        <v>33</v>
      </c>
      <c r="T1" t="s">
        <v>35</v>
      </c>
      <c r="U1" t="s">
        <v>36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39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</row>
    <row r="2" spans="1:41">
      <c r="A2" s="29" t="s">
        <v>94</v>
      </c>
      <c r="B2" s="10">
        <v>2</v>
      </c>
      <c r="C2" s="29" t="s">
        <v>77</v>
      </c>
      <c r="D2" s="30">
        <v>598718.6</v>
      </c>
      <c r="E2" s="30">
        <v>5853262.4000000004</v>
      </c>
      <c r="F2" s="31">
        <v>24.7</v>
      </c>
      <c r="H2" s="29" t="s">
        <v>111</v>
      </c>
      <c r="I2" s="19" t="s">
        <v>65</v>
      </c>
      <c r="J2" s="31">
        <v>0.18</v>
      </c>
      <c r="K2" s="31">
        <v>0.8</v>
      </c>
      <c r="L2" s="17">
        <f>F2+J2</f>
        <v>24.88</v>
      </c>
      <c r="M2" s="16">
        <f>F2+K2</f>
        <v>25.5</v>
      </c>
      <c r="N2" s="12">
        <f>(L2+M2)/2</f>
        <v>25.189999999999998</v>
      </c>
      <c r="O2" s="11">
        <f>ROUND(N2,0)</f>
        <v>25</v>
      </c>
      <c r="P2" s="13">
        <v>0</v>
      </c>
      <c r="Q2" s="13">
        <f>K2</f>
        <v>0.8</v>
      </c>
      <c r="R2" s="13">
        <f>P2+F2</f>
        <v>24.7</v>
      </c>
      <c r="S2" s="13">
        <f>F2+Q2</f>
        <v>25.5</v>
      </c>
      <c r="T2" s="13">
        <f>(R2+S2)/2</f>
        <v>25.1</v>
      </c>
      <c r="U2" s="14">
        <f>ROUND(T2,0)</f>
        <v>25</v>
      </c>
      <c r="V2" s="34">
        <v>2.04</v>
      </c>
      <c r="W2" s="31">
        <v>96.82</v>
      </c>
      <c r="X2" s="31">
        <v>1.1399999999999999</v>
      </c>
      <c r="Y2" s="31">
        <v>0.75</v>
      </c>
      <c r="Z2" s="31">
        <v>0.55000000000000004</v>
      </c>
      <c r="AA2" s="34">
        <v>1.1399999999999999</v>
      </c>
      <c r="AB2" s="31">
        <v>0.93</v>
      </c>
      <c r="AC2" s="32">
        <v>1.9167000000000001</v>
      </c>
      <c r="AD2" s="33">
        <v>0.14949999999999999</v>
      </c>
      <c r="AE2" s="33">
        <v>0.17100000000000001</v>
      </c>
      <c r="AF2" s="33">
        <v>0.25650000000000001</v>
      </c>
      <c r="AG2" s="33">
        <v>0.28649999999999998</v>
      </c>
      <c r="AH2" s="33">
        <v>0.3201</v>
      </c>
      <c r="AI2" s="32">
        <v>1.8664000000000001</v>
      </c>
      <c r="AJ2" s="33">
        <v>0.15210000000000001</v>
      </c>
      <c r="AK2" s="33">
        <v>0.17319999999999999</v>
      </c>
      <c r="AL2" s="33">
        <v>0.2838</v>
      </c>
      <c r="AM2" s="33">
        <v>0.316</v>
      </c>
      <c r="AN2" s="33">
        <v>0.25490000000000002</v>
      </c>
    </row>
    <row r="3" spans="1:41">
      <c r="A3" s="29" t="s">
        <v>94</v>
      </c>
      <c r="B3" s="10">
        <v>2</v>
      </c>
      <c r="C3" s="29" t="s">
        <v>77</v>
      </c>
      <c r="D3" s="30">
        <v>598718.6</v>
      </c>
      <c r="E3" s="30">
        <v>5853262.4000000004</v>
      </c>
      <c r="F3" s="31">
        <v>24.7</v>
      </c>
      <c r="G3" s="16"/>
      <c r="H3" s="29" t="s">
        <v>111</v>
      </c>
      <c r="I3" s="19" t="s">
        <v>58</v>
      </c>
      <c r="J3" s="31">
        <v>0.8</v>
      </c>
      <c r="K3" s="31">
        <v>1</v>
      </c>
      <c r="L3" s="17">
        <f>F3+J3</f>
        <v>25.5</v>
      </c>
      <c r="M3" s="16">
        <f>F3+K3</f>
        <v>25.7</v>
      </c>
      <c r="N3" s="12">
        <f>(L3+M3)/2</f>
        <v>25.6</v>
      </c>
      <c r="O3" s="11">
        <f>ROUND(N3,0)</f>
        <v>26</v>
      </c>
      <c r="P3" s="13">
        <f>J3</f>
        <v>0.8</v>
      </c>
      <c r="Q3" s="13">
        <f>K3</f>
        <v>1</v>
      </c>
      <c r="R3" s="13">
        <f>P3+F3</f>
        <v>25.5</v>
      </c>
      <c r="S3" s="13">
        <f>F3+Q3</f>
        <v>25.7</v>
      </c>
      <c r="T3" s="13">
        <f>(R3+S3)/2</f>
        <v>25.6</v>
      </c>
      <c r="U3" s="14">
        <f>ROUND(T3,0)</f>
        <v>26</v>
      </c>
      <c r="V3" s="34">
        <v>0.14000000000000001</v>
      </c>
      <c r="W3" s="31">
        <v>97.67</v>
      </c>
      <c r="X3" s="31">
        <v>2.19</v>
      </c>
      <c r="Y3" s="31">
        <v>1.72</v>
      </c>
      <c r="Z3" s="31">
        <v>1.23</v>
      </c>
      <c r="AA3" s="34">
        <v>2.19</v>
      </c>
      <c r="AB3" s="31">
        <v>1.7</v>
      </c>
      <c r="AC3" s="32">
        <v>2.2564000000000002</v>
      </c>
      <c r="AD3" s="33">
        <v>0.12640000000000001</v>
      </c>
      <c r="AE3" s="33">
        <v>0.13689999999999999</v>
      </c>
      <c r="AF3" s="33">
        <v>0.25640000000000002</v>
      </c>
      <c r="AG3" s="33">
        <v>0.2853</v>
      </c>
      <c r="AH3" s="33">
        <v>0.31730000000000003</v>
      </c>
      <c r="AI3" s="32">
        <v>2.2162999999999999</v>
      </c>
      <c r="AJ3" s="33">
        <v>0.1295</v>
      </c>
      <c r="AK3" s="33">
        <v>0.1401</v>
      </c>
      <c r="AL3" s="33">
        <v>0.28710000000000002</v>
      </c>
      <c r="AM3" s="33">
        <v>0.31869999999999998</v>
      </c>
      <c r="AN3" s="33">
        <v>0.2586</v>
      </c>
    </row>
    <row r="4" spans="1:41">
      <c r="A4" s="29" t="s">
        <v>94</v>
      </c>
      <c r="B4" s="10">
        <v>2</v>
      </c>
      <c r="C4" s="29" t="s">
        <v>77</v>
      </c>
      <c r="D4" s="30">
        <v>598718.6</v>
      </c>
      <c r="E4" s="30">
        <v>5853262.4000000004</v>
      </c>
      <c r="F4" s="31">
        <v>24.7</v>
      </c>
      <c r="H4" s="29" t="s">
        <v>112</v>
      </c>
      <c r="I4" s="19" t="s">
        <v>59</v>
      </c>
      <c r="J4" s="31">
        <v>1.05</v>
      </c>
      <c r="K4" s="31">
        <v>2</v>
      </c>
      <c r="L4" s="17">
        <f>F4+J4</f>
        <v>25.75</v>
      </c>
      <c r="M4" s="16">
        <f>F4+K4</f>
        <v>26.7</v>
      </c>
      <c r="N4" s="12">
        <f>(L4+M4)/2</f>
        <v>26.225000000000001</v>
      </c>
      <c r="O4" s="11">
        <f>ROUND(N4,0)</f>
        <v>26</v>
      </c>
      <c r="P4" s="13">
        <f>J4</f>
        <v>1.05</v>
      </c>
      <c r="Q4" s="13">
        <f>K4</f>
        <v>2</v>
      </c>
      <c r="R4" s="13">
        <f>P4+F4</f>
        <v>25.75</v>
      </c>
      <c r="S4" s="13">
        <f>F4+Q4</f>
        <v>26.7</v>
      </c>
      <c r="T4" s="13">
        <f>(R4+S4)/2</f>
        <v>26.225000000000001</v>
      </c>
      <c r="U4" s="14">
        <f>ROUND(T4,0)</f>
        <v>26</v>
      </c>
      <c r="V4" s="34">
        <v>0.04</v>
      </c>
      <c r="W4" s="31">
        <v>96.15</v>
      </c>
      <c r="X4" s="31">
        <v>3.82</v>
      </c>
      <c r="Y4" s="31">
        <v>2.88</v>
      </c>
      <c r="Z4" s="31">
        <v>2.5099999999999998</v>
      </c>
      <c r="AA4" s="34">
        <v>3.82</v>
      </c>
      <c r="AB4" s="31">
        <v>3.45</v>
      </c>
      <c r="AC4" s="32">
        <v>1.9964</v>
      </c>
      <c r="AD4" s="33">
        <v>9.9099999999999994E-2</v>
      </c>
      <c r="AE4" s="33">
        <v>0.126</v>
      </c>
      <c r="AF4" s="33">
        <v>0.1736</v>
      </c>
      <c r="AG4" s="33">
        <v>0.19769999999999999</v>
      </c>
      <c r="AH4" s="33">
        <v>0.2311</v>
      </c>
      <c r="AI4" s="32">
        <v>1.7130000000000001</v>
      </c>
      <c r="AJ4" s="33">
        <v>0.1179</v>
      </c>
      <c r="AK4" s="33">
        <v>0.12939999999999999</v>
      </c>
      <c r="AL4" s="33">
        <v>0.20200000000000001</v>
      </c>
      <c r="AM4" s="33">
        <v>0.23480000000000001</v>
      </c>
      <c r="AN4" s="33">
        <v>0.17630000000000001</v>
      </c>
    </row>
    <row r="5" spans="1:41">
      <c r="A5" s="29" t="s">
        <v>94</v>
      </c>
      <c r="B5" s="10">
        <v>2</v>
      </c>
      <c r="C5" s="29" t="s">
        <v>77</v>
      </c>
      <c r="D5" s="30">
        <v>598718.6</v>
      </c>
      <c r="E5" s="30">
        <v>5853262.4000000004</v>
      </c>
      <c r="F5" s="31">
        <v>24.7</v>
      </c>
      <c r="H5" s="29" t="s">
        <v>113</v>
      </c>
      <c r="I5" s="19" t="s">
        <v>60</v>
      </c>
      <c r="J5" s="31">
        <v>2.0299999999999998</v>
      </c>
      <c r="K5" s="31">
        <v>3</v>
      </c>
      <c r="L5" s="17">
        <f>F5+J5</f>
        <v>26.73</v>
      </c>
      <c r="M5" s="16">
        <f>F5+K5</f>
        <v>27.7</v>
      </c>
      <c r="N5" s="12">
        <f>(L5+M5)/2</f>
        <v>27.215</v>
      </c>
      <c r="O5" s="11">
        <f>ROUND(N5,0)</f>
        <v>27</v>
      </c>
      <c r="P5" s="13">
        <v>2</v>
      </c>
      <c r="Q5" s="13">
        <f>K5</f>
        <v>3</v>
      </c>
      <c r="R5" s="13">
        <f>P5+F5</f>
        <v>26.7</v>
      </c>
      <c r="S5" s="13">
        <f>F5+Q5</f>
        <v>27.7</v>
      </c>
      <c r="T5" s="13">
        <f>(R5+S5)/2</f>
        <v>27.2</v>
      </c>
      <c r="U5" s="14">
        <f>ROUND(T5,0)</f>
        <v>27</v>
      </c>
      <c r="V5" s="34">
        <v>0.01</v>
      </c>
      <c r="W5" s="31">
        <v>97.02</v>
      </c>
      <c r="X5" s="31">
        <v>2.97</v>
      </c>
      <c r="Y5" s="31">
        <v>2.38</v>
      </c>
      <c r="Z5" s="31">
        <v>2.09</v>
      </c>
      <c r="AA5" s="34">
        <v>2.97</v>
      </c>
      <c r="AB5" s="31">
        <v>2.68</v>
      </c>
      <c r="AC5" s="32">
        <v>2.4718</v>
      </c>
      <c r="AD5" s="33">
        <v>0.1164</v>
      </c>
      <c r="AE5" s="33">
        <v>0.1338</v>
      </c>
      <c r="AF5" s="33">
        <v>0.25840000000000002</v>
      </c>
      <c r="AG5" s="33">
        <v>0.28770000000000001</v>
      </c>
      <c r="AH5" s="33">
        <v>0.32029999999999997</v>
      </c>
      <c r="AI5" s="32">
        <v>2.2743000000000002</v>
      </c>
      <c r="AJ5" s="33">
        <v>0.128</v>
      </c>
      <c r="AK5" s="33">
        <v>0.13919999999999999</v>
      </c>
      <c r="AL5" s="33">
        <v>0.29099999999999998</v>
      </c>
      <c r="AM5" s="33">
        <v>0.3231</v>
      </c>
      <c r="AN5" s="33">
        <v>0.2621</v>
      </c>
    </row>
    <row r="6" spans="1:41">
      <c r="A6" s="29" t="s">
        <v>94</v>
      </c>
      <c r="B6" s="10">
        <v>2</v>
      </c>
      <c r="C6" s="29" t="s">
        <v>77</v>
      </c>
      <c r="D6" s="30">
        <v>598718.6</v>
      </c>
      <c r="E6" s="30">
        <v>5853262.4000000004</v>
      </c>
      <c r="F6" s="31">
        <v>24.7</v>
      </c>
      <c r="H6" s="29" t="s">
        <v>114</v>
      </c>
      <c r="I6" s="19" t="s">
        <v>61</v>
      </c>
      <c r="J6" s="31">
        <v>4.08</v>
      </c>
      <c r="K6" s="31">
        <v>5</v>
      </c>
      <c r="L6" s="17">
        <f>F6+J6</f>
        <v>28.78</v>
      </c>
      <c r="M6" s="16">
        <f>F6+K6</f>
        <v>29.7</v>
      </c>
      <c r="N6" s="12">
        <f>(L6+M6)/2</f>
        <v>29.240000000000002</v>
      </c>
      <c r="O6" s="11">
        <f>ROUND(N6,0)</f>
        <v>29</v>
      </c>
      <c r="P6" s="13">
        <f>J6</f>
        <v>4.08</v>
      </c>
      <c r="Q6" s="13">
        <f>K6</f>
        <v>5</v>
      </c>
      <c r="R6" s="13">
        <f>P6+F6</f>
        <v>28.78</v>
      </c>
      <c r="S6" s="13">
        <f>F6+Q6</f>
        <v>29.7</v>
      </c>
      <c r="T6" s="13">
        <f>(R6+S6)/2</f>
        <v>29.240000000000002</v>
      </c>
      <c r="U6" s="14">
        <f>ROUND(T6,0)</f>
        <v>29</v>
      </c>
      <c r="V6" s="34">
        <v>0</v>
      </c>
      <c r="W6" s="31">
        <v>99.16</v>
      </c>
      <c r="X6" s="31">
        <v>0.84</v>
      </c>
      <c r="Y6" s="31">
        <v>0.64</v>
      </c>
      <c r="Z6" s="31">
        <v>0.52</v>
      </c>
      <c r="AA6" s="34">
        <v>0.84</v>
      </c>
      <c r="AB6" s="31">
        <v>0.72</v>
      </c>
      <c r="AC6" s="32">
        <v>1.9155</v>
      </c>
      <c r="AD6" s="33">
        <v>0.1489</v>
      </c>
      <c r="AE6" s="33">
        <v>0.17199999999999999</v>
      </c>
      <c r="AF6" s="33">
        <v>0.26300000000000001</v>
      </c>
      <c r="AG6" s="33">
        <v>0.28520000000000001</v>
      </c>
      <c r="AH6" s="33">
        <v>0.30940000000000001</v>
      </c>
      <c r="AI6" s="32">
        <v>1.8843000000000001</v>
      </c>
      <c r="AJ6" s="33">
        <v>0.1517</v>
      </c>
      <c r="AK6" s="33">
        <v>0.17510000000000001</v>
      </c>
      <c r="AL6" s="33">
        <v>0.28589999999999999</v>
      </c>
      <c r="AM6" s="33">
        <v>0.30990000000000001</v>
      </c>
      <c r="AN6" s="33">
        <v>0.26379999999999998</v>
      </c>
      <c r="AO6" s="2"/>
    </row>
    <row r="7" spans="1:41">
      <c r="A7" s="29" t="s">
        <v>94</v>
      </c>
      <c r="B7" s="10">
        <v>2</v>
      </c>
      <c r="C7" s="29" t="s">
        <v>77</v>
      </c>
      <c r="D7" s="30">
        <v>598718.6</v>
      </c>
      <c r="E7" s="30">
        <v>5853262.4000000004</v>
      </c>
      <c r="F7" s="31">
        <v>24.7</v>
      </c>
      <c r="H7" s="29" t="s">
        <v>115</v>
      </c>
      <c r="I7" s="19" t="s">
        <v>62</v>
      </c>
      <c r="J7" s="31">
        <v>5</v>
      </c>
      <c r="K7" s="31">
        <v>5.2</v>
      </c>
      <c r="L7" s="17">
        <f>F7+J7</f>
        <v>29.7</v>
      </c>
      <c r="M7" s="16">
        <f>F7+K7</f>
        <v>29.9</v>
      </c>
      <c r="N7" s="12">
        <f>(L7+M7)/2</f>
        <v>29.799999999999997</v>
      </c>
      <c r="O7" s="11">
        <f>ROUND(N7,0)</f>
        <v>30</v>
      </c>
      <c r="P7" s="13">
        <f>J7</f>
        <v>5</v>
      </c>
      <c r="Q7" s="13">
        <f>K7</f>
        <v>5.2</v>
      </c>
      <c r="R7" s="13">
        <f>P7+F7</f>
        <v>29.7</v>
      </c>
      <c r="S7" s="13">
        <f>F7+Q7</f>
        <v>29.9</v>
      </c>
      <c r="T7" s="13">
        <f>(R7+S7)/2</f>
        <v>29.799999999999997</v>
      </c>
      <c r="U7" s="14">
        <f>ROUND(T7,0)</f>
        <v>30</v>
      </c>
      <c r="V7" s="34">
        <v>0.03</v>
      </c>
      <c r="W7" s="31">
        <v>98.53</v>
      </c>
      <c r="X7" s="31">
        <v>1.44</v>
      </c>
      <c r="Y7" s="31">
        <v>1.08</v>
      </c>
      <c r="Z7" s="31">
        <v>0.54</v>
      </c>
      <c r="AA7" s="34">
        <v>1.44</v>
      </c>
      <c r="AB7" s="31">
        <v>0.9</v>
      </c>
      <c r="AC7" s="32">
        <v>1.5964</v>
      </c>
      <c r="AD7" s="33">
        <v>0.1769</v>
      </c>
      <c r="AE7" s="33">
        <v>0.18820000000000001</v>
      </c>
      <c r="AF7" s="33">
        <v>0.2616</v>
      </c>
      <c r="AG7" s="33">
        <v>0.28239999999999998</v>
      </c>
      <c r="AH7" s="33">
        <v>0.3049</v>
      </c>
      <c r="AI7" s="32">
        <v>1.5669999999999999</v>
      </c>
      <c r="AJ7" s="33">
        <v>0.1807</v>
      </c>
      <c r="AK7" s="33">
        <v>0.18959999999999999</v>
      </c>
      <c r="AL7" s="33">
        <v>0.28320000000000001</v>
      </c>
      <c r="AM7" s="33">
        <v>0.30549999999999999</v>
      </c>
      <c r="AN7" s="33">
        <v>0.26240000000000002</v>
      </c>
    </row>
    <row r="8" spans="1:41">
      <c r="A8" s="29" t="s">
        <v>95</v>
      </c>
      <c r="B8" s="10">
        <v>2</v>
      </c>
      <c r="C8" s="29" t="s">
        <v>78</v>
      </c>
      <c r="D8" s="30">
        <v>598425.80000000005</v>
      </c>
      <c r="E8" s="30">
        <v>5853112.7999999998</v>
      </c>
      <c r="F8" s="31">
        <v>27.8</v>
      </c>
      <c r="H8" s="29" t="s">
        <v>111</v>
      </c>
      <c r="I8" s="27" t="s">
        <v>65</v>
      </c>
      <c r="J8" s="31">
        <v>0.1</v>
      </c>
      <c r="K8" s="31">
        <v>0.55000000000000004</v>
      </c>
      <c r="L8" s="17">
        <f>F8+J8</f>
        <v>27.900000000000002</v>
      </c>
      <c r="M8" s="16">
        <f>F8+K8</f>
        <v>28.35</v>
      </c>
      <c r="N8" s="12">
        <f>(L8+M8)/2</f>
        <v>28.125</v>
      </c>
      <c r="O8" s="11">
        <f>ROUND(N8,0)</f>
        <v>28</v>
      </c>
      <c r="P8" s="13">
        <v>0</v>
      </c>
      <c r="Q8" s="13">
        <f>K8</f>
        <v>0.55000000000000004</v>
      </c>
      <c r="R8" s="13">
        <f>P8+F8</f>
        <v>27.8</v>
      </c>
      <c r="S8" s="13">
        <f>F8+Q8</f>
        <v>28.35</v>
      </c>
      <c r="T8" s="13">
        <f>(R8+S8)/2</f>
        <v>28.075000000000003</v>
      </c>
      <c r="U8" s="14">
        <f>ROUND(T8,0)</f>
        <v>28</v>
      </c>
      <c r="V8" s="34">
        <v>0</v>
      </c>
      <c r="W8" s="31">
        <v>98.97</v>
      </c>
      <c r="X8" s="31">
        <v>1.03</v>
      </c>
      <c r="Y8" s="31">
        <v>0.79</v>
      </c>
      <c r="Z8" s="31">
        <v>0.61</v>
      </c>
      <c r="AA8" s="34">
        <v>1.03</v>
      </c>
      <c r="AB8" s="31">
        <v>0.85</v>
      </c>
      <c r="AC8" s="32">
        <v>1.7027000000000001</v>
      </c>
      <c r="AD8" s="33">
        <v>0.13500000000000001</v>
      </c>
      <c r="AE8" s="33">
        <v>0.1449</v>
      </c>
      <c r="AF8" s="33">
        <v>0.2117</v>
      </c>
      <c r="AG8" s="33">
        <v>0.22989999999999999</v>
      </c>
      <c r="AH8" s="33">
        <v>0.24959999999999999</v>
      </c>
      <c r="AI8" s="32">
        <v>1.6890000000000001</v>
      </c>
      <c r="AJ8" s="33">
        <v>0.13650000000000001</v>
      </c>
      <c r="AK8" s="33">
        <v>0.1464</v>
      </c>
      <c r="AL8" s="33">
        <v>0.23050000000000001</v>
      </c>
      <c r="AM8" s="33">
        <v>0.25040000000000001</v>
      </c>
      <c r="AN8" s="33">
        <v>0.21249999999999999</v>
      </c>
    </row>
    <row r="9" spans="1:41">
      <c r="A9" s="29" t="s">
        <v>95</v>
      </c>
      <c r="B9" s="10">
        <v>2</v>
      </c>
      <c r="C9" s="29" t="s">
        <v>78</v>
      </c>
      <c r="D9" s="30">
        <v>598425.80000000005</v>
      </c>
      <c r="E9" s="30">
        <v>5853112.7999999998</v>
      </c>
      <c r="F9" s="31">
        <v>27.8</v>
      </c>
      <c r="G9" s="16"/>
      <c r="H9" s="29" t="s">
        <v>111</v>
      </c>
      <c r="I9" s="27" t="s">
        <v>58</v>
      </c>
      <c r="J9" s="31">
        <v>0.55000000000000004</v>
      </c>
      <c r="K9" s="31">
        <v>1</v>
      </c>
      <c r="L9" s="17">
        <f>F9+J9</f>
        <v>28.35</v>
      </c>
      <c r="M9" s="16">
        <f>F9+K9</f>
        <v>28.8</v>
      </c>
      <c r="N9" s="12">
        <f>(L9+M9)/2</f>
        <v>28.575000000000003</v>
      </c>
      <c r="O9" s="11">
        <f>ROUND(N9,0)</f>
        <v>29</v>
      </c>
      <c r="P9" s="13">
        <f>J9</f>
        <v>0.55000000000000004</v>
      </c>
      <c r="Q9" s="13">
        <f>K9</f>
        <v>1</v>
      </c>
      <c r="R9" s="13">
        <f>P9+F9</f>
        <v>28.35</v>
      </c>
      <c r="S9" s="13">
        <f>F9+Q9</f>
        <v>28.8</v>
      </c>
      <c r="T9" s="13">
        <f>(R9+S9)/2</f>
        <v>28.575000000000003</v>
      </c>
      <c r="U9" s="14">
        <f>ROUND(T9,0)</f>
        <v>29</v>
      </c>
      <c r="V9" s="34">
        <v>0.02</v>
      </c>
      <c r="W9" s="31">
        <v>98.89</v>
      </c>
      <c r="X9" s="31">
        <v>1.0900000000000001</v>
      </c>
      <c r="Y9" s="31">
        <v>0.81</v>
      </c>
      <c r="Z9" s="31">
        <v>0.38</v>
      </c>
      <c r="AA9" s="34">
        <v>1.0900000000000001</v>
      </c>
      <c r="AB9" s="31">
        <v>0.66</v>
      </c>
      <c r="AC9" s="32">
        <v>1.7552000000000001</v>
      </c>
      <c r="AD9" s="33">
        <v>0.1439</v>
      </c>
      <c r="AE9" s="33">
        <v>0.1583</v>
      </c>
      <c r="AF9" s="33">
        <v>0.23019999999999999</v>
      </c>
      <c r="AG9" s="33">
        <v>0.2525</v>
      </c>
      <c r="AH9" s="33">
        <v>0.30869999999999997</v>
      </c>
      <c r="AI9" s="32">
        <v>1.7442</v>
      </c>
      <c r="AJ9" s="33">
        <v>0.14549999999999999</v>
      </c>
      <c r="AK9" s="33">
        <v>0.16</v>
      </c>
      <c r="AL9" s="33">
        <v>0.25380000000000003</v>
      </c>
      <c r="AM9" s="33">
        <v>0.30990000000000001</v>
      </c>
      <c r="AN9" s="33">
        <v>0.23080000000000001</v>
      </c>
    </row>
    <row r="10" spans="1:41">
      <c r="A10" s="29" t="s">
        <v>95</v>
      </c>
      <c r="B10" s="10">
        <v>2</v>
      </c>
      <c r="C10" s="29" t="s">
        <v>78</v>
      </c>
      <c r="D10" s="30">
        <v>598425.80000000005</v>
      </c>
      <c r="E10" s="30">
        <v>5853112.7999999998</v>
      </c>
      <c r="F10" s="31">
        <v>27.8</v>
      </c>
      <c r="H10" s="29" t="s">
        <v>112</v>
      </c>
      <c r="I10" s="27" t="s">
        <v>59</v>
      </c>
      <c r="J10" s="31">
        <v>1.08</v>
      </c>
      <c r="K10" s="31">
        <v>2</v>
      </c>
      <c r="L10" s="17">
        <f>F10+J10</f>
        <v>28.880000000000003</v>
      </c>
      <c r="M10" s="16">
        <f>F10+K10</f>
        <v>29.8</v>
      </c>
      <c r="N10" s="12">
        <f>(L10+M10)/2</f>
        <v>29.340000000000003</v>
      </c>
      <c r="O10" s="11">
        <f>ROUND(N10,0)</f>
        <v>29</v>
      </c>
      <c r="P10" s="13">
        <v>1</v>
      </c>
      <c r="Q10" s="13">
        <f>K10</f>
        <v>2</v>
      </c>
      <c r="R10" s="13">
        <f>P10+F10</f>
        <v>28.8</v>
      </c>
      <c r="S10" s="13">
        <f>F10+Q10</f>
        <v>29.8</v>
      </c>
      <c r="T10" s="13">
        <f>(R10+S10)/2</f>
        <v>29.3</v>
      </c>
      <c r="U10" s="14">
        <f>ROUND(T10,0)</f>
        <v>29</v>
      </c>
      <c r="V10" s="34">
        <v>0.45</v>
      </c>
      <c r="W10" s="31">
        <v>98.73</v>
      </c>
      <c r="X10" s="31">
        <v>0.82</v>
      </c>
      <c r="Y10" s="31">
        <v>0.55000000000000004</v>
      </c>
      <c r="Z10" s="31">
        <v>0.33</v>
      </c>
      <c r="AA10" s="34">
        <v>0.82</v>
      </c>
      <c r="AB10" s="31">
        <v>0.59</v>
      </c>
      <c r="AC10" s="32">
        <v>1.9927999999999999</v>
      </c>
      <c r="AD10" s="33">
        <v>0.1525</v>
      </c>
      <c r="AE10" s="33">
        <v>0.1736</v>
      </c>
      <c r="AF10" s="33">
        <v>0.25829999999999997</v>
      </c>
      <c r="AG10" s="33">
        <v>0.3039</v>
      </c>
      <c r="AH10" s="33">
        <v>0.35720000000000002</v>
      </c>
      <c r="AI10" s="32">
        <v>1.9664999999999999</v>
      </c>
      <c r="AJ10" s="33">
        <v>0.15440000000000001</v>
      </c>
      <c r="AK10" s="33">
        <v>0.17560000000000001</v>
      </c>
      <c r="AL10" s="33">
        <v>0.30370000000000003</v>
      </c>
      <c r="AM10" s="33">
        <v>0.35649999999999998</v>
      </c>
      <c r="AN10" s="33">
        <v>0.2586</v>
      </c>
    </row>
    <row r="11" spans="1:41">
      <c r="A11" s="29" t="s">
        <v>95</v>
      </c>
      <c r="B11" s="10">
        <v>2</v>
      </c>
      <c r="C11" s="29" t="s">
        <v>78</v>
      </c>
      <c r="D11" s="30">
        <v>598425.80000000005</v>
      </c>
      <c r="E11" s="30">
        <v>5853112.7999999998</v>
      </c>
      <c r="F11" s="31">
        <v>27.8</v>
      </c>
      <c r="H11" s="29" t="s">
        <v>116</v>
      </c>
      <c r="I11" s="27" t="s">
        <v>63</v>
      </c>
      <c r="J11" s="31">
        <v>3.03</v>
      </c>
      <c r="K11" s="31">
        <v>4</v>
      </c>
      <c r="L11" s="17">
        <f>F11+J11</f>
        <v>30.830000000000002</v>
      </c>
      <c r="M11" s="16">
        <f>F11+K11</f>
        <v>31.8</v>
      </c>
      <c r="N11" s="12">
        <f>(L11+M11)/2</f>
        <v>31.315000000000001</v>
      </c>
      <c r="O11" s="11">
        <f>ROUND(N11,0)</f>
        <v>31</v>
      </c>
      <c r="P11" s="13">
        <v>2</v>
      </c>
      <c r="Q11" s="13">
        <v>4.54</v>
      </c>
      <c r="R11" s="13">
        <f>P11+F11</f>
        <v>29.8</v>
      </c>
      <c r="S11" s="13">
        <f>F11+Q11</f>
        <v>32.340000000000003</v>
      </c>
      <c r="T11" s="13">
        <f>(R11+S11)/2</f>
        <v>31.07</v>
      </c>
      <c r="U11" s="14">
        <f>ROUND(T11,0)</f>
        <v>31</v>
      </c>
      <c r="V11" s="34">
        <v>0.01</v>
      </c>
      <c r="W11" s="31">
        <v>99.45</v>
      </c>
      <c r="X11" s="31">
        <v>0.53</v>
      </c>
      <c r="Y11" s="31">
        <v>0.4</v>
      </c>
      <c r="Z11" s="31">
        <v>0.24</v>
      </c>
      <c r="AA11" s="34">
        <v>0.53</v>
      </c>
      <c r="AB11" s="31">
        <v>0.37</v>
      </c>
      <c r="AC11" s="32">
        <v>2.0819999999999999</v>
      </c>
      <c r="AD11" s="33">
        <v>0.16850000000000001</v>
      </c>
      <c r="AE11" s="33">
        <v>0.19750000000000001</v>
      </c>
      <c r="AF11" s="33">
        <v>0.31990000000000002</v>
      </c>
      <c r="AG11" s="33">
        <v>0.3508</v>
      </c>
      <c r="AH11" s="33">
        <v>0.3866</v>
      </c>
      <c r="AI11" s="32">
        <v>2.0587</v>
      </c>
      <c r="AJ11" s="33">
        <v>0.1706</v>
      </c>
      <c r="AK11" s="33">
        <v>0.1993</v>
      </c>
      <c r="AL11" s="33">
        <v>0.3513</v>
      </c>
      <c r="AM11" s="33">
        <v>0.38700000000000001</v>
      </c>
      <c r="AN11" s="33">
        <v>0.32040000000000002</v>
      </c>
      <c r="AO11" s="2"/>
    </row>
    <row r="12" spans="1:41">
      <c r="A12" s="29" t="s">
        <v>95</v>
      </c>
      <c r="B12" s="10">
        <v>2</v>
      </c>
      <c r="C12" s="29" t="s">
        <v>78</v>
      </c>
      <c r="D12" s="30">
        <v>598425.80000000005</v>
      </c>
      <c r="E12" s="30">
        <v>5853112.7999999998</v>
      </c>
      <c r="F12" s="31">
        <v>27.8</v>
      </c>
      <c r="H12" s="29" t="s">
        <v>117</v>
      </c>
      <c r="I12" s="27" t="s">
        <v>61</v>
      </c>
      <c r="J12" s="31">
        <v>4.54</v>
      </c>
      <c r="K12" s="31">
        <v>5</v>
      </c>
      <c r="L12" s="17">
        <f>F12+J12</f>
        <v>32.340000000000003</v>
      </c>
      <c r="M12" s="16">
        <f>F12+K12</f>
        <v>32.799999999999997</v>
      </c>
      <c r="N12" s="12">
        <f>(L12+M12)/2</f>
        <v>32.57</v>
      </c>
      <c r="O12" s="11">
        <f>ROUND(N12,0)</f>
        <v>33</v>
      </c>
      <c r="P12" s="13">
        <f>J12</f>
        <v>4.54</v>
      </c>
      <c r="Q12" s="13">
        <f>K12</f>
        <v>5</v>
      </c>
      <c r="R12" s="13">
        <f>P12+F12</f>
        <v>32.340000000000003</v>
      </c>
      <c r="S12" s="13">
        <f>F12+Q12</f>
        <v>32.799999999999997</v>
      </c>
      <c r="T12" s="13">
        <f>(R12+S12)/2</f>
        <v>32.57</v>
      </c>
      <c r="U12" s="14">
        <f>ROUND(T12,0)</f>
        <v>33</v>
      </c>
      <c r="V12" s="34">
        <v>0.6</v>
      </c>
      <c r="W12" s="31">
        <v>98.59</v>
      </c>
      <c r="X12" s="31">
        <v>0.82</v>
      </c>
      <c r="Y12" s="31">
        <v>0.73</v>
      </c>
      <c r="Z12" s="31">
        <v>0.43</v>
      </c>
      <c r="AA12" s="34">
        <v>0.82</v>
      </c>
      <c r="AB12" s="31">
        <v>0.52</v>
      </c>
      <c r="AC12" s="32">
        <v>2.1175000000000002</v>
      </c>
      <c r="AD12" s="33">
        <v>0.18920000000000001</v>
      </c>
      <c r="AE12" s="33">
        <v>0.23619999999999999</v>
      </c>
      <c r="AF12" s="33">
        <v>0.36780000000000002</v>
      </c>
      <c r="AG12" s="33">
        <v>0.40060000000000001</v>
      </c>
      <c r="AH12" s="33">
        <v>0.43630000000000002</v>
      </c>
      <c r="AI12" s="32">
        <v>2.0771000000000002</v>
      </c>
      <c r="AJ12" s="33">
        <v>0.19259999999999999</v>
      </c>
      <c r="AK12" s="33">
        <v>0.2399</v>
      </c>
      <c r="AL12" s="33">
        <v>0.40010000000000001</v>
      </c>
      <c r="AM12" s="33">
        <v>0.43530000000000002</v>
      </c>
      <c r="AN12" s="33">
        <v>0.36759999999999998</v>
      </c>
    </row>
    <row r="13" spans="1:41">
      <c r="A13" s="29" t="s">
        <v>95</v>
      </c>
      <c r="B13" s="10">
        <v>2</v>
      </c>
      <c r="C13" s="29" t="s">
        <v>78</v>
      </c>
      <c r="D13" s="30">
        <v>598425.80000000005</v>
      </c>
      <c r="E13" s="30">
        <v>5853112.7999999998</v>
      </c>
      <c r="F13" s="31">
        <v>27.8</v>
      </c>
      <c r="G13" s="24"/>
      <c r="H13" s="29" t="s">
        <v>118</v>
      </c>
      <c r="I13" s="27" t="s">
        <v>62</v>
      </c>
      <c r="J13" s="31">
        <v>5.24</v>
      </c>
      <c r="K13" s="31">
        <v>5.95</v>
      </c>
      <c r="L13" s="17">
        <f>F13+J13</f>
        <v>33.04</v>
      </c>
      <c r="M13" s="16">
        <f>F13+K13</f>
        <v>33.75</v>
      </c>
      <c r="N13" s="12">
        <f>(L13+M13)/2</f>
        <v>33.394999999999996</v>
      </c>
      <c r="O13" s="11">
        <f>ROUND(N13,0)</f>
        <v>33</v>
      </c>
      <c r="P13" s="13">
        <v>5</v>
      </c>
      <c r="Q13" s="13">
        <f>K13</f>
        <v>5.95</v>
      </c>
      <c r="R13" s="13">
        <f>P13+F13</f>
        <v>32.799999999999997</v>
      </c>
      <c r="S13" s="13">
        <f>F13+Q13</f>
        <v>33.75</v>
      </c>
      <c r="T13" s="13">
        <f>(R13+S13)/2</f>
        <v>33.274999999999999</v>
      </c>
      <c r="U13" s="14">
        <f>ROUND(T13,0)</f>
        <v>33</v>
      </c>
      <c r="V13" s="34">
        <v>0.49</v>
      </c>
      <c r="W13" s="31">
        <v>98.63</v>
      </c>
      <c r="X13" s="31">
        <v>0.87</v>
      </c>
      <c r="Y13" s="31">
        <v>0.81</v>
      </c>
      <c r="Z13" s="31">
        <v>0.42</v>
      </c>
      <c r="AA13" s="34">
        <v>0.87</v>
      </c>
      <c r="AB13" s="31">
        <v>0.48</v>
      </c>
      <c r="AC13" s="32">
        <v>1.6825000000000001</v>
      </c>
      <c r="AD13" s="33">
        <v>0.2263</v>
      </c>
      <c r="AE13" s="33">
        <v>0.25640000000000002</v>
      </c>
      <c r="AF13" s="33">
        <v>0.34949999999999998</v>
      </c>
      <c r="AG13" s="33">
        <v>0.38069999999999998</v>
      </c>
      <c r="AH13" s="33">
        <v>0.41439999999999999</v>
      </c>
      <c r="AI13" s="32">
        <v>1.6516999999999999</v>
      </c>
      <c r="AJ13" s="33">
        <v>0.2303</v>
      </c>
      <c r="AK13" s="33">
        <v>0.2571</v>
      </c>
      <c r="AL13" s="33">
        <v>0.38040000000000002</v>
      </c>
      <c r="AM13" s="33">
        <v>0.41370000000000001</v>
      </c>
      <c r="AN13" s="33">
        <v>0.34949999999999998</v>
      </c>
    </row>
    <row r="14" spans="1:41">
      <c r="A14" s="29" t="s">
        <v>96</v>
      </c>
      <c r="B14" s="10">
        <v>2</v>
      </c>
      <c r="C14" s="29" t="s">
        <v>79</v>
      </c>
      <c r="D14" s="30">
        <v>597924.5</v>
      </c>
      <c r="E14" s="30">
        <v>5853186.5</v>
      </c>
      <c r="F14" s="31">
        <v>25.5</v>
      </c>
      <c r="H14" s="29" t="s">
        <v>111</v>
      </c>
      <c r="I14" s="27" t="s">
        <v>65</v>
      </c>
      <c r="J14" s="31">
        <v>0.22</v>
      </c>
      <c r="K14" s="31">
        <v>0.61</v>
      </c>
      <c r="L14" s="17">
        <f>F14+J14</f>
        <v>25.72</v>
      </c>
      <c r="M14" s="16">
        <f>F14+K14</f>
        <v>26.11</v>
      </c>
      <c r="N14" s="12">
        <f>(L14+M14)/2</f>
        <v>25.914999999999999</v>
      </c>
      <c r="O14" s="11">
        <f>ROUND(N14,0)</f>
        <v>26</v>
      </c>
      <c r="P14" s="13">
        <v>0</v>
      </c>
      <c r="Q14" s="13">
        <f>K14</f>
        <v>0.61</v>
      </c>
      <c r="R14" s="13">
        <f>P14+F14</f>
        <v>25.5</v>
      </c>
      <c r="S14" s="13">
        <f>F14+Q14</f>
        <v>26.11</v>
      </c>
      <c r="T14" s="13">
        <f>(R14+S14)/2</f>
        <v>25.805</v>
      </c>
      <c r="U14" s="14">
        <f>ROUND(T14,0)</f>
        <v>26</v>
      </c>
      <c r="V14" s="34">
        <v>0.08</v>
      </c>
      <c r="W14" s="31">
        <v>99.31</v>
      </c>
      <c r="X14" s="31">
        <v>0.61</v>
      </c>
      <c r="Y14" s="31">
        <v>0.39</v>
      </c>
      <c r="Z14" s="31">
        <v>0.25</v>
      </c>
      <c r="AA14" s="34">
        <v>0.61</v>
      </c>
      <c r="AB14" s="31">
        <v>0.47</v>
      </c>
      <c r="AC14" s="32">
        <v>1.8068</v>
      </c>
      <c r="AD14" s="33">
        <v>0.1704</v>
      </c>
      <c r="AE14" s="33">
        <v>0.19089999999999999</v>
      </c>
      <c r="AF14" s="33">
        <v>0.28620000000000001</v>
      </c>
      <c r="AG14" s="33">
        <v>0.308</v>
      </c>
      <c r="AH14" s="33">
        <v>0.33139999999999997</v>
      </c>
      <c r="AI14" s="32">
        <v>1.7795000000000001</v>
      </c>
      <c r="AJ14" s="33">
        <v>0.17319999999999999</v>
      </c>
      <c r="AK14" s="33">
        <v>0.19209999999999999</v>
      </c>
      <c r="AL14" s="33">
        <v>0.30830000000000002</v>
      </c>
      <c r="AM14" s="33">
        <v>0.33160000000000001</v>
      </c>
      <c r="AN14" s="33">
        <v>0.28660000000000002</v>
      </c>
    </row>
    <row r="15" spans="1:41">
      <c r="A15" s="29" t="s">
        <v>96</v>
      </c>
      <c r="B15" s="10">
        <v>2</v>
      </c>
      <c r="C15" s="29" t="s">
        <v>79</v>
      </c>
      <c r="D15" s="30">
        <v>597924.5</v>
      </c>
      <c r="E15" s="30">
        <v>5853186.5</v>
      </c>
      <c r="F15" s="31">
        <v>25.5</v>
      </c>
      <c r="G15" s="16"/>
      <c r="H15" s="29" t="s">
        <v>111</v>
      </c>
      <c r="I15" s="27" t="s">
        <v>58</v>
      </c>
      <c r="J15" s="31">
        <v>0.61</v>
      </c>
      <c r="K15" s="31">
        <v>1</v>
      </c>
      <c r="L15" s="17">
        <f>F15+J15</f>
        <v>26.11</v>
      </c>
      <c r="M15" s="16">
        <f>F15+K15</f>
        <v>26.5</v>
      </c>
      <c r="N15" s="12">
        <f>(L15+M15)/2</f>
        <v>26.305</v>
      </c>
      <c r="O15" s="11">
        <f>ROUND(N15,0)</f>
        <v>26</v>
      </c>
      <c r="P15" s="13">
        <f>J15</f>
        <v>0.61</v>
      </c>
      <c r="Q15" s="13">
        <f>K15</f>
        <v>1</v>
      </c>
      <c r="R15" s="13">
        <f>P15+F15</f>
        <v>26.11</v>
      </c>
      <c r="S15" s="13">
        <f>F15+Q15</f>
        <v>26.5</v>
      </c>
      <c r="T15" s="13">
        <f>(R15+S15)/2</f>
        <v>26.305</v>
      </c>
      <c r="U15" s="14">
        <f>ROUND(T15,0)</f>
        <v>26</v>
      </c>
      <c r="V15" s="34">
        <v>0.32</v>
      </c>
      <c r="W15" s="31">
        <v>98.8</v>
      </c>
      <c r="X15" s="31">
        <v>0.89</v>
      </c>
      <c r="Y15" s="31">
        <v>0.69</v>
      </c>
      <c r="Z15" s="31">
        <v>0.34</v>
      </c>
      <c r="AA15" s="34">
        <v>0.89</v>
      </c>
      <c r="AB15" s="31">
        <v>0.54</v>
      </c>
      <c r="AC15" s="32">
        <v>1.7867999999999999</v>
      </c>
      <c r="AD15" s="33">
        <v>0.17460000000000001</v>
      </c>
      <c r="AE15" s="33">
        <v>0.19439999999999999</v>
      </c>
      <c r="AF15" s="33">
        <v>0.29049999999999998</v>
      </c>
      <c r="AG15" s="33">
        <v>0.31190000000000001</v>
      </c>
      <c r="AH15" s="33">
        <v>0.33500000000000002</v>
      </c>
      <c r="AI15" s="32">
        <v>1.7533000000000001</v>
      </c>
      <c r="AJ15" s="33">
        <v>0.1779</v>
      </c>
      <c r="AK15" s="33">
        <v>0.1958</v>
      </c>
      <c r="AL15" s="33">
        <v>0.312</v>
      </c>
      <c r="AM15" s="33">
        <v>0.33489999999999998</v>
      </c>
      <c r="AN15" s="33">
        <v>0.29070000000000001</v>
      </c>
    </row>
    <row r="16" spans="1:41">
      <c r="A16" s="29" t="s">
        <v>96</v>
      </c>
      <c r="B16" s="10">
        <v>2</v>
      </c>
      <c r="C16" s="29" t="s">
        <v>79</v>
      </c>
      <c r="D16" s="30">
        <v>597924.5</v>
      </c>
      <c r="E16" s="30">
        <v>5853186.5</v>
      </c>
      <c r="F16" s="31">
        <v>25.5</v>
      </c>
      <c r="G16" s="16"/>
      <c r="H16" s="29" t="s">
        <v>112</v>
      </c>
      <c r="I16" s="27" t="s">
        <v>59</v>
      </c>
      <c r="J16" s="31">
        <v>1.56</v>
      </c>
      <c r="K16" s="31">
        <v>2</v>
      </c>
      <c r="L16" s="17">
        <f>F16+J16</f>
        <v>27.06</v>
      </c>
      <c r="M16" s="16">
        <f>F16+K16</f>
        <v>27.5</v>
      </c>
      <c r="N16" s="12">
        <f>(L16+M16)/2</f>
        <v>27.28</v>
      </c>
      <c r="O16" s="11">
        <f>ROUND(N16,0)</f>
        <v>27</v>
      </c>
      <c r="P16" s="13">
        <v>1</v>
      </c>
      <c r="Q16" s="13">
        <f>K16</f>
        <v>2</v>
      </c>
      <c r="R16" s="13">
        <f>P16+F16</f>
        <v>26.5</v>
      </c>
      <c r="S16" s="13">
        <f>F16+Q16</f>
        <v>27.5</v>
      </c>
      <c r="T16" s="13">
        <f>(R16+S16)/2</f>
        <v>27</v>
      </c>
      <c r="U16" s="14">
        <f>ROUND(T16,0)</f>
        <v>27</v>
      </c>
      <c r="V16" s="34">
        <v>0</v>
      </c>
      <c r="W16" s="31">
        <v>99.39</v>
      </c>
      <c r="X16" s="31">
        <v>0.61</v>
      </c>
      <c r="Y16" s="31">
        <v>0.59</v>
      </c>
      <c r="Z16" s="31">
        <v>0.24</v>
      </c>
      <c r="AA16" s="34">
        <v>0.61</v>
      </c>
      <c r="AB16" s="31">
        <v>0.26</v>
      </c>
      <c r="AC16" s="32">
        <v>1.6106</v>
      </c>
      <c r="AD16" s="33">
        <v>0.20300000000000001</v>
      </c>
      <c r="AE16" s="33">
        <v>0.23069999999999999</v>
      </c>
      <c r="AF16" s="33">
        <v>0.30659999999999998</v>
      </c>
      <c r="AG16" s="33">
        <v>0.32690000000000002</v>
      </c>
      <c r="AH16" s="33">
        <v>0.34860000000000002</v>
      </c>
      <c r="AI16" s="32">
        <v>1.6021000000000001</v>
      </c>
      <c r="AJ16" s="33">
        <v>0.20419999999999999</v>
      </c>
      <c r="AK16" s="33">
        <v>0.2319</v>
      </c>
      <c r="AL16" s="33">
        <v>0.3271</v>
      </c>
      <c r="AM16" s="33">
        <v>0.34870000000000001</v>
      </c>
      <c r="AN16" s="33">
        <v>0.30690000000000001</v>
      </c>
    </row>
    <row r="17" spans="1:41">
      <c r="A17" s="29" t="s">
        <v>96</v>
      </c>
      <c r="B17" s="10">
        <v>2</v>
      </c>
      <c r="C17" s="29" t="s">
        <v>79</v>
      </c>
      <c r="D17" s="30">
        <v>597924.5</v>
      </c>
      <c r="E17" s="30">
        <v>5853186.5</v>
      </c>
      <c r="F17" s="31">
        <v>25.5</v>
      </c>
      <c r="H17" s="29" t="s">
        <v>113</v>
      </c>
      <c r="I17" s="27" t="s">
        <v>60</v>
      </c>
      <c r="J17" s="31">
        <v>2.02</v>
      </c>
      <c r="K17" s="31">
        <v>3</v>
      </c>
      <c r="L17" s="17">
        <f>F17+J17</f>
        <v>27.52</v>
      </c>
      <c r="M17" s="16">
        <f>F17+K17</f>
        <v>28.5</v>
      </c>
      <c r="N17" s="12">
        <f>(L17+M17)/2</f>
        <v>28.009999999999998</v>
      </c>
      <c r="O17" s="11">
        <f>ROUND(N17,0)</f>
        <v>28</v>
      </c>
      <c r="P17" s="13">
        <v>2</v>
      </c>
      <c r="Q17" s="13">
        <f>K17</f>
        <v>3</v>
      </c>
      <c r="R17" s="13">
        <f>P17+F17</f>
        <v>27.5</v>
      </c>
      <c r="S17" s="13">
        <f>F17+Q17</f>
        <v>28.5</v>
      </c>
      <c r="T17" s="13">
        <f>(R17+S17)/2</f>
        <v>28</v>
      </c>
      <c r="U17" s="14">
        <f>ROUND(T17,0)</f>
        <v>28</v>
      </c>
      <c r="V17" s="34">
        <v>0</v>
      </c>
      <c r="W17" s="31">
        <v>99.37</v>
      </c>
      <c r="X17" s="31">
        <v>0.63</v>
      </c>
      <c r="Y17" s="31">
        <v>0.51</v>
      </c>
      <c r="Z17" s="31">
        <v>0.28999999999999998</v>
      </c>
      <c r="AA17" s="34">
        <v>0.63</v>
      </c>
      <c r="AB17" s="31">
        <v>0.42</v>
      </c>
      <c r="AC17" s="32">
        <v>1.7855000000000001</v>
      </c>
      <c r="AD17" s="33">
        <v>0.1726</v>
      </c>
      <c r="AE17" s="33">
        <v>0.1925</v>
      </c>
      <c r="AF17" s="33">
        <v>0.28710000000000002</v>
      </c>
      <c r="AG17" s="33">
        <v>0.30819999999999997</v>
      </c>
      <c r="AH17" s="33">
        <v>0.33090000000000003</v>
      </c>
      <c r="AI17" s="32">
        <v>1.7599</v>
      </c>
      <c r="AJ17" s="33">
        <v>0.1754</v>
      </c>
      <c r="AK17" s="33">
        <v>0.19370000000000001</v>
      </c>
      <c r="AL17" s="33">
        <v>0.30859999999999999</v>
      </c>
      <c r="AM17" s="33">
        <v>0.33119999999999999</v>
      </c>
      <c r="AN17" s="33">
        <v>0.28749999999999998</v>
      </c>
    </row>
    <row r="18" spans="1:41">
      <c r="A18" s="29" t="s">
        <v>96</v>
      </c>
      <c r="B18" s="10">
        <v>2</v>
      </c>
      <c r="C18" s="29" t="s">
        <v>79</v>
      </c>
      <c r="D18" s="30">
        <v>597924.5</v>
      </c>
      <c r="E18" s="30">
        <v>5853186.5</v>
      </c>
      <c r="F18" s="31">
        <v>25.5</v>
      </c>
      <c r="G18" s="16"/>
      <c r="H18" s="29" t="s">
        <v>116</v>
      </c>
      <c r="I18" s="27" t="s">
        <v>63</v>
      </c>
      <c r="J18" s="31">
        <v>3</v>
      </c>
      <c r="K18" s="31">
        <v>4</v>
      </c>
      <c r="L18" s="17">
        <f>F18+J18</f>
        <v>28.5</v>
      </c>
      <c r="M18" s="16">
        <f>F18+K18</f>
        <v>29.5</v>
      </c>
      <c r="N18" s="12">
        <f>(L18+M18)/2</f>
        <v>29</v>
      </c>
      <c r="O18" s="11">
        <f>ROUND(N18,0)</f>
        <v>29</v>
      </c>
      <c r="P18" s="13">
        <f>J18</f>
        <v>3</v>
      </c>
      <c r="Q18" s="13">
        <f>K18</f>
        <v>4</v>
      </c>
      <c r="R18" s="13">
        <f>P18+F18</f>
        <v>28.5</v>
      </c>
      <c r="S18" s="13">
        <f>F18+Q18</f>
        <v>29.5</v>
      </c>
      <c r="T18" s="13">
        <f>(R18+S18)/2</f>
        <v>29</v>
      </c>
      <c r="U18" s="14">
        <f>ROUND(T18,0)</f>
        <v>29</v>
      </c>
      <c r="V18" s="34">
        <v>0.21</v>
      </c>
      <c r="W18" s="31">
        <v>99.16</v>
      </c>
      <c r="X18" s="31">
        <v>0.63</v>
      </c>
      <c r="Y18" s="31">
        <v>0.41</v>
      </c>
      <c r="Z18" s="31">
        <v>0.26</v>
      </c>
      <c r="AA18" s="34">
        <v>0.63</v>
      </c>
      <c r="AB18" s="31">
        <v>0.48</v>
      </c>
      <c r="AC18" s="32">
        <v>2.1682000000000001</v>
      </c>
      <c r="AD18" s="33">
        <v>0.16259999999999999</v>
      </c>
      <c r="AE18" s="33">
        <v>0.1895</v>
      </c>
      <c r="AF18" s="33">
        <v>0.31869999999999998</v>
      </c>
      <c r="AG18" s="33">
        <v>0.35249999999999998</v>
      </c>
      <c r="AH18" s="33">
        <v>0.39229999999999998</v>
      </c>
      <c r="AI18" s="32">
        <v>2.1392000000000002</v>
      </c>
      <c r="AJ18" s="33">
        <v>0.16489999999999999</v>
      </c>
      <c r="AK18" s="33">
        <v>0.1913</v>
      </c>
      <c r="AL18" s="33">
        <v>0.35270000000000001</v>
      </c>
      <c r="AM18" s="33">
        <v>0.39229999999999998</v>
      </c>
      <c r="AN18" s="33">
        <v>0.31909999999999999</v>
      </c>
    </row>
    <row r="19" spans="1:41">
      <c r="A19" s="29" t="s">
        <v>96</v>
      </c>
      <c r="B19" s="10">
        <v>2</v>
      </c>
      <c r="C19" s="29" t="s">
        <v>79</v>
      </c>
      <c r="D19" s="30">
        <v>597924.5</v>
      </c>
      <c r="E19" s="30">
        <v>5853186.5</v>
      </c>
      <c r="F19" s="31">
        <v>25.5</v>
      </c>
      <c r="H19" s="29" t="s">
        <v>117</v>
      </c>
      <c r="I19" s="27" t="s">
        <v>61</v>
      </c>
      <c r="J19" s="31">
        <v>4.03</v>
      </c>
      <c r="K19" s="31">
        <v>5</v>
      </c>
      <c r="L19" s="17">
        <f>F19+J19</f>
        <v>29.53</v>
      </c>
      <c r="M19" s="16">
        <f>F19+K19</f>
        <v>30.5</v>
      </c>
      <c r="N19" s="12">
        <f>(L19+M19)/2</f>
        <v>30.015000000000001</v>
      </c>
      <c r="O19" s="11">
        <f>ROUND(N19,0)</f>
        <v>30</v>
      </c>
      <c r="P19" s="13">
        <v>4</v>
      </c>
      <c r="Q19" s="13">
        <f>K19</f>
        <v>5</v>
      </c>
      <c r="R19" s="13">
        <f>P19+F19</f>
        <v>29.5</v>
      </c>
      <c r="S19" s="13">
        <f>F19+Q19</f>
        <v>30.5</v>
      </c>
      <c r="T19" s="13">
        <f>(R19+S19)/2</f>
        <v>30</v>
      </c>
      <c r="U19" s="14">
        <f>ROUND(T19,0)</f>
        <v>30</v>
      </c>
      <c r="V19" s="34">
        <v>0</v>
      </c>
      <c r="W19" s="31">
        <v>99.48</v>
      </c>
      <c r="X19" s="31">
        <v>0.52</v>
      </c>
      <c r="Y19" s="31">
        <v>0.39</v>
      </c>
      <c r="Z19" s="31">
        <v>0.25</v>
      </c>
      <c r="AA19" s="34">
        <v>0.52</v>
      </c>
      <c r="AB19" s="31">
        <v>0.38</v>
      </c>
      <c r="AC19" s="32">
        <v>1.6497999999999999</v>
      </c>
      <c r="AD19" s="33">
        <v>0.20300000000000001</v>
      </c>
      <c r="AE19" s="33">
        <v>0.24129999999999999</v>
      </c>
      <c r="AF19" s="33">
        <v>0.31340000000000001</v>
      </c>
      <c r="AG19" s="33">
        <v>0.33500000000000002</v>
      </c>
      <c r="AH19" s="33">
        <v>0.3604</v>
      </c>
      <c r="AI19" s="32">
        <v>1.6323000000000001</v>
      </c>
      <c r="AJ19" s="33">
        <v>0.2054</v>
      </c>
      <c r="AK19" s="33">
        <v>0.24399999999999999</v>
      </c>
      <c r="AL19" s="33">
        <v>0.33529999999999999</v>
      </c>
      <c r="AM19" s="33">
        <v>0.3609</v>
      </c>
      <c r="AN19" s="33">
        <v>0.31380000000000002</v>
      </c>
    </row>
    <row r="20" spans="1:41">
      <c r="A20" s="29" t="s">
        <v>97</v>
      </c>
      <c r="B20" s="10">
        <v>2</v>
      </c>
      <c r="C20" s="29" t="s">
        <v>80</v>
      </c>
      <c r="D20" s="30">
        <v>597946.6</v>
      </c>
      <c r="E20" s="30">
        <v>5852379.4000000004</v>
      </c>
      <c r="F20" s="31">
        <v>25.3</v>
      </c>
      <c r="G20" s="16"/>
      <c r="H20" s="29" t="s">
        <v>111</v>
      </c>
      <c r="I20" s="27" t="s">
        <v>65</v>
      </c>
      <c r="J20" s="31">
        <v>0.3</v>
      </c>
      <c r="K20" s="31">
        <v>0.65</v>
      </c>
      <c r="L20" s="17">
        <f>F20+J20</f>
        <v>25.6</v>
      </c>
      <c r="M20" s="16">
        <f>F20+K20</f>
        <v>25.95</v>
      </c>
      <c r="N20" s="12">
        <f>(L20+M20)/2</f>
        <v>25.774999999999999</v>
      </c>
      <c r="O20" s="11">
        <f>ROUND(N20,0)</f>
        <v>26</v>
      </c>
      <c r="P20" s="13">
        <v>0</v>
      </c>
      <c r="Q20" s="13">
        <f>K20</f>
        <v>0.65</v>
      </c>
      <c r="R20" s="13">
        <f>P20+F20</f>
        <v>25.3</v>
      </c>
      <c r="S20" s="13">
        <f>F20+Q20</f>
        <v>25.95</v>
      </c>
      <c r="T20" s="13">
        <f>(R20+S20)/2</f>
        <v>25.625</v>
      </c>
      <c r="U20" s="14">
        <f>ROUND(T20,0)</f>
        <v>26</v>
      </c>
      <c r="V20" s="34">
        <v>0</v>
      </c>
      <c r="W20" s="31">
        <v>99.28</v>
      </c>
      <c r="X20" s="31">
        <v>0.72</v>
      </c>
      <c r="Y20" s="31">
        <v>0.44</v>
      </c>
      <c r="Z20" s="31">
        <v>0.3</v>
      </c>
      <c r="AA20" s="34">
        <v>0.72</v>
      </c>
      <c r="AB20" s="31">
        <v>0.57999999999999996</v>
      </c>
      <c r="AC20" s="32">
        <v>1.9430000000000001</v>
      </c>
      <c r="AD20" s="33">
        <v>0.14549999999999999</v>
      </c>
      <c r="AE20" s="33">
        <v>0.16350000000000001</v>
      </c>
      <c r="AF20" s="33">
        <v>0.25919999999999999</v>
      </c>
      <c r="AG20" s="33">
        <v>0.28270000000000001</v>
      </c>
      <c r="AH20" s="33">
        <v>0.30840000000000001</v>
      </c>
      <c r="AI20" s="32">
        <v>1.9232</v>
      </c>
      <c r="AJ20" s="33">
        <v>0.14729999999999999</v>
      </c>
      <c r="AK20" s="33">
        <v>0.16539999999999999</v>
      </c>
      <c r="AL20" s="33">
        <v>0.2833</v>
      </c>
      <c r="AM20" s="33">
        <v>0.30880000000000002</v>
      </c>
      <c r="AN20" s="33">
        <v>0.25979999999999998</v>
      </c>
    </row>
    <row r="21" spans="1:41">
      <c r="A21" s="29" t="s">
        <v>97</v>
      </c>
      <c r="B21" s="10">
        <v>2</v>
      </c>
      <c r="C21" s="29" t="s">
        <v>80</v>
      </c>
      <c r="D21" s="30">
        <v>597946.6</v>
      </c>
      <c r="E21" s="30">
        <v>5852379.4000000004</v>
      </c>
      <c r="F21" s="31">
        <v>25.3</v>
      </c>
      <c r="G21" s="16"/>
      <c r="H21" s="29" t="s">
        <v>111</v>
      </c>
      <c r="I21" s="27" t="s">
        <v>58</v>
      </c>
      <c r="J21" s="31">
        <v>0.65</v>
      </c>
      <c r="K21" s="31">
        <v>1</v>
      </c>
      <c r="L21" s="17">
        <f>F21+J21</f>
        <v>25.95</v>
      </c>
      <c r="M21" s="16">
        <f>F21+K21</f>
        <v>26.3</v>
      </c>
      <c r="N21" s="12">
        <f>(L21+M21)/2</f>
        <v>26.125</v>
      </c>
      <c r="O21" s="11">
        <f>ROUND(N21,0)</f>
        <v>26</v>
      </c>
      <c r="P21" s="13">
        <f>J21</f>
        <v>0.65</v>
      </c>
      <c r="Q21" s="13">
        <f>K21</f>
        <v>1</v>
      </c>
      <c r="R21" s="13">
        <f>P21+F21</f>
        <v>25.95</v>
      </c>
      <c r="S21" s="13">
        <f>F21+Q21</f>
        <v>26.3</v>
      </c>
      <c r="T21" s="13">
        <f>(R21+S21)/2</f>
        <v>26.125</v>
      </c>
      <c r="U21" s="14">
        <f>ROUND(T21,0)</f>
        <v>26</v>
      </c>
      <c r="V21" s="34">
        <v>0.05</v>
      </c>
      <c r="W21" s="31">
        <v>98.88</v>
      </c>
      <c r="X21" s="31">
        <v>1.07</v>
      </c>
      <c r="Y21" s="31">
        <v>0.77</v>
      </c>
      <c r="Z21" s="31">
        <v>0.36</v>
      </c>
      <c r="AA21" s="34">
        <v>1.07</v>
      </c>
      <c r="AB21" s="31">
        <v>0.65</v>
      </c>
      <c r="AC21" s="32">
        <v>1.9710000000000001</v>
      </c>
      <c r="AD21" s="33">
        <v>0.14660000000000001</v>
      </c>
      <c r="AE21" s="33">
        <v>0.1656</v>
      </c>
      <c r="AF21" s="33">
        <v>0.26540000000000002</v>
      </c>
      <c r="AG21" s="33">
        <v>0.28889999999999999</v>
      </c>
      <c r="AH21" s="33">
        <v>0.3145</v>
      </c>
      <c r="AI21" s="32">
        <v>1.9469000000000001</v>
      </c>
      <c r="AJ21" s="33">
        <v>0.1487</v>
      </c>
      <c r="AK21" s="33">
        <v>0.16789999999999999</v>
      </c>
      <c r="AL21" s="33">
        <v>0.28949999999999998</v>
      </c>
      <c r="AM21" s="33">
        <v>0.315</v>
      </c>
      <c r="AN21" s="33">
        <v>0.2661</v>
      </c>
    </row>
    <row r="22" spans="1:41">
      <c r="A22" s="29" t="s">
        <v>97</v>
      </c>
      <c r="B22" s="37">
        <v>2</v>
      </c>
      <c r="C22" s="29" t="s">
        <v>80</v>
      </c>
      <c r="D22" s="30">
        <v>597946.6</v>
      </c>
      <c r="E22" s="30">
        <v>5852379.4000000004</v>
      </c>
      <c r="F22" s="31">
        <v>25.3</v>
      </c>
      <c r="G22" s="38"/>
      <c r="H22" s="29" t="s">
        <v>112</v>
      </c>
      <c r="I22" s="27" t="s">
        <v>60</v>
      </c>
      <c r="J22" s="31">
        <v>1.07</v>
      </c>
      <c r="K22" s="31">
        <v>2</v>
      </c>
      <c r="L22" s="39">
        <f>F22+J22</f>
        <v>26.37</v>
      </c>
      <c r="M22" s="40">
        <f>F22+K22</f>
        <v>27.3</v>
      </c>
      <c r="N22" s="41">
        <f>(L22+M22)/2</f>
        <v>26.835000000000001</v>
      </c>
      <c r="O22" s="42">
        <f>ROUND(N22,0)</f>
        <v>27</v>
      </c>
      <c r="P22" s="43">
        <v>1</v>
      </c>
      <c r="Q22" s="43">
        <v>3</v>
      </c>
      <c r="R22" s="43">
        <f>P22+F22</f>
        <v>26.3</v>
      </c>
      <c r="S22" s="43">
        <f>F22+Q22</f>
        <v>28.3</v>
      </c>
      <c r="T22" s="43">
        <f>(R22+S22)/2</f>
        <v>27.3</v>
      </c>
      <c r="U22" s="44">
        <f>ROUND(T22,0)</f>
        <v>27</v>
      </c>
      <c r="V22" s="34">
        <v>0.35</v>
      </c>
      <c r="W22" s="31">
        <v>98.87</v>
      </c>
      <c r="X22" s="31">
        <v>0.79</v>
      </c>
      <c r="Y22" s="31">
        <v>0.51</v>
      </c>
      <c r="Z22" s="31">
        <v>0.33</v>
      </c>
      <c r="AA22" s="34">
        <v>0.79</v>
      </c>
      <c r="AB22" s="31">
        <v>0.61</v>
      </c>
      <c r="AC22" s="32">
        <v>1.931</v>
      </c>
      <c r="AD22" s="33">
        <v>0.14760000000000001</v>
      </c>
      <c r="AE22" s="33">
        <v>0.16689999999999999</v>
      </c>
      <c r="AF22" s="33">
        <v>0.26129999999999998</v>
      </c>
      <c r="AG22" s="33">
        <v>0.28499999999999998</v>
      </c>
      <c r="AH22" s="33">
        <v>0.31090000000000001</v>
      </c>
      <c r="AI22" s="32">
        <v>1.9075</v>
      </c>
      <c r="AJ22" s="33">
        <v>0.14940000000000001</v>
      </c>
      <c r="AK22" s="33">
        <v>0.16880000000000001</v>
      </c>
      <c r="AL22" s="33">
        <v>0.28510000000000002</v>
      </c>
      <c r="AM22" s="33">
        <v>0.31069999999999998</v>
      </c>
      <c r="AN22" s="33">
        <v>0.2616</v>
      </c>
      <c r="AO22" s="2"/>
    </row>
    <row r="23" spans="1:41">
      <c r="A23" s="29" t="s">
        <v>97</v>
      </c>
      <c r="B23" s="37">
        <v>2</v>
      </c>
      <c r="C23" s="29" t="s">
        <v>80</v>
      </c>
      <c r="D23" s="30">
        <v>597946.6</v>
      </c>
      <c r="E23" s="30">
        <v>5852379.4000000004</v>
      </c>
      <c r="F23" s="31">
        <v>25.3</v>
      </c>
      <c r="G23" s="40"/>
      <c r="H23" s="29" t="s">
        <v>116</v>
      </c>
      <c r="I23" s="27" t="s">
        <v>63</v>
      </c>
      <c r="J23" s="31">
        <v>3.03</v>
      </c>
      <c r="K23" s="31">
        <v>3.77</v>
      </c>
      <c r="L23" s="39">
        <f>F23+J23</f>
        <v>28.330000000000002</v>
      </c>
      <c r="M23" s="40">
        <f>F23+K23</f>
        <v>29.07</v>
      </c>
      <c r="N23" s="41">
        <f>(L23+M23)/2</f>
        <v>28.700000000000003</v>
      </c>
      <c r="O23" s="42">
        <f>ROUND(N23,0)</f>
        <v>29</v>
      </c>
      <c r="P23" s="43">
        <v>3</v>
      </c>
      <c r="Q23" s="43">
        <f>K23</f>
        <v>3.77</v>
      </c>
      <c r="R23" s="43">
        <f>P23+F23</f>
        <v>28.3</v>
      </c>
      <c r="S23" s="43">
        <f>F23+Q23</f>
        <v>29.07</v>
      </c>
      <c r="T23" s="43">
        <f>(R23+S23)/2</f>
        <v>28.685000000000002</v>
      </c>
      <c r="U23" s="44">
        <f>ROUND(T23,0)</f>
        <v>29</v>
      </c>
      <c r="V23" s="34">
        <v>0.01</v>
      </c>
      <c r="W23" s="31">
        <v>99.51</v>
      </c>
      <c r="X23" s="31">
        <v>0.48</v>
      </c>
      <c r="Y23" s="31">
        <v>0.33</v>
      </c>
      <c r="Z23" s="31">
        <v>0.24</v>
      </c>
      <c r="AA23" s="34">
        <v>0.48</v>
      </c>
      <c r="AB23" s="31">
        <v>0.4</v>
      </c>
      <c r="AC23" s="32">
        <v>1.6519999999999999</v>
      </c>
      <c r="AD23" s="33">
        <v>0.18970000000000001</v>
      </c>
      <c r="AE23" s="33">
        <v>0.20899999999999999</v>
      </c>
      <c r="AF23" s="33">
        <v>0.29420000000000002</v>
      </c>
      <c r="AG23" s="33">
        <v>0.31330000000000002</v>
      </c>
      <c r="AH23" s="33">
        <v>0.33379999999999999</v>
      </c>
      <c r="AI23" s="32">
        <v>1.6422000000000001</v>
      </c>
      <c r="AJ23" s="33">
        <v>0.191</v>
      </c>
      <c r="AK23" s="33">
        <v>0.21029999999999999</v>
      </c>
      <c r="AL23" s="33">
        <v>0.31359999999999999</v>
      </c>
      <c r="AM23" s="33">
        <v>0.33400000000000002</v>
      </c>
      <c r="AN23" s="33">
        <v>0.29449999999999998</v>
      </c>
    </row>
    <row r="24" spans="1:41">
      <c r="A24" s="29" t="s">
        <v>97</v>
      </c>
      <c r="B24" s="10">
        <v>2</v>
      </c>
      <c r="C24" s="29" t="s">
        <v>80</v>
      </c>
      <c r="D24" s="30">
        <v>597946.6</v>
      </c>
      <c r="E24" s="30">
        <v>5852379.4000000004</v>
      </c>
      <c r="F24" s="31">
        <v>25.3</v>
      </c>
      <c r="H24" s="29" t="s">
        <v>117</v>
      </c>
      <c r="I24" s="27" t="s">
        <v>61</v>
      </c>
      <c r="J24" s="31">
        <v>4.03</v>
      </c>
      <c r="K24" s="31">
        <v>4.2699999999999996</v>
      </c>
      <c r="L24" s="17">
        <f>F24+J24</f>
        <v>29.330000000000002</v>
      </c>
      <c r="M24" s="16">
        <f>F24+K24</f>
        <v>29.57</v>
      </c>
      <c r="N24" s="12">
        <f>(L24+M24)/2</f>
        <v>29.450000000000003</v>
      </c>
      <c r="O24" s="11">
        <f>ROUND(N24,0)</f>
        <v>29</v>
      </c>
      <c r="P24" s="13">
        <v>3.77</v>
      </c>
      <c r="Q24" s="13">
        <f>K24</f>
        <v>4.2699999999999996</v>
      </c>
      <c r="R24" s="13">
        <f>P24+F24</f>
        <v>29.07</v>
      </c>
      <c r="S24" s="13">
        <f>F24+Q24</f>
        <v>29.57</v>
      </c>
      <c r="T24" s="13">
        <f>(R24+S24)/2</f>
        <v>29.32</v>
      </c>
      <c r="U24" s="14">
        <f>ROUND(T24,0)</f>
        <v>29</v>
      </c>
      <c r="V24" s="34">
        <v>0.03</v>
      </c>
      <c r="W24" s="31">
        <v>99.65</v>
      </c>
      <c r="X24" s="31">
        <v>0.33</v>
      </c>
      <c r="Y24" s="31">
        <v>0.28999999999999998</v>
      </c>
      <c r="Z24" s="31">
        <v>0.17</v>
      </c>
      <c r="AA24" s="34">
        <v>0.33</v>
      </c>
      <c r="AB24" s="31">
        <v>0.21</v>
      </c>
      <c r="AC24" s="32">
        <v>1.8582000000000001</v>
      </c>
      <c r="AD24" s="33">
        <v>0.28039999999999998</v>
      </c>
      <c r="AE24" s="33">
        <v>0.33610000000000001</v>
      </c>
      <c r="AF24" s="33">
        <v>0.4748</v>
      </c>
      <c r="AG24" s="33">
        <v>0.52100000000000002</v>
      </c>
      <c r="AH24" s="33">
        <v>0.57689999999999997</v>
      </c>
      <c r="AI24" s="32">
        <v>1.8469</v>
      </c>
      <c r="AJ24" s="33">
        <v>0.2823</v>
      </c>
      <c r="AK24" s="33">
        <v>0.33829999999999999</v>
      </c>
      <c r="AL24" s="33">
        <v>0.52139999999999997</v>
      </c>
      <c r="AM24" s="33">
        <v>0.57709999999999995</v>
      </c>
      <c r="AN24" s="33">
        <v>0.47520000000000001</v>
      </c>
    </row>
    <row r="25" spans="1:41">
      <c r="A25" s="29" t="s">
        <v>97</v>
      </c>
      <c r="B25" s="10">
        <v>2</v>
      </c>
      <c r="C25" s="29" t="s">
        <v>80</v>
      </c>
      <c r="D25" s="30">
        <v>597946.6</v>
      </c>
      <c r="E25" s="30">
        <v>5852379.4000000004</v>
      </c>
      <c r="F25" s="31">
        <v>25.3</v>
      </c>
      <c r="G25" s="16"/>
      <c r="H25" s="29" t="s">
        <v>118</v>
      </c>
      <c r="I25" s="27" t="s">
        <v>62</v>
      </c>
      <c r="J25" s="31">
        <v>5.09</v>
      </c>
      <c r="K25" s="31">
        <v>5.8</v>
      </c>
      <c r="L25" s="17">
        <f>F25+J25</f>
        <v>30.39</v>
      </c>
      <c r="M25" s="16">
        <f>F25+K25</f>
        <v>31.1</v>
      </c>
      <c r="N25" s="12">
        <f>(L25+M25)/2</f>
        <v>30.745000000000001</v>
      </c>
      <c r="O25" s="11">
        <f>ROUND(N25,0)</f>
        <v>31</v>
      </c>
      <c r="P25" s="13">
        <v>4.2699999999999996</v>
      </c>
      <c r="Q25" s="13">
        <f>K25</f>
        <v>5.8</v>
      </c>
      <c r="R25" s="13">
        <f>P25+F25</f>
        <v>29.57</v>
      </c>
      <c r="S25" s="13">
        <f>F25+Q25</f>
        <v>31.1</v>
      </c>
      <c r="T25" s="13">
        <f>(R25+S25)/2</f>
        <v>30.335000000000001</v>
      </c>
      <c r="U25" s="14">
        <f>ROUND(T25,0)</f>
        <v>30</v>
      </c>
      <c r="V25" s="34">
        <v>0.04</v>
      </c>
      <c r="W25" s="31">
        <v>99.18</v>
      </c>
      <c r="X25" s="31">
        <v>0.77</v>
      </c>
      <c r="Y25" s="31">
        <v>0.63</v>
      </c>
      <c r="Z25" s="31">
        <v>0.37</v>
      </c>
      <c r="AA25" s="34">
        <v>0.77</v>
      </c>
      <c r="AB25" s="31">
        <v>0.51</v>
      </c>
      <c r="AC25" s="32">
        <v>1.8688</v>
      </c>
      <c r="AD25" s="33">
        <v>0.18210000000000001</v>
      </c>
      <c r="AE25" s="33">
        <v>0.2092</v>
      </c>
      <c r="AF25" s="33">
        <v>0.31419999999999998</v>
      </c>
      <c r="AG25" s="33">
        <v>0.34029999999999999</v>
      </c>
      <c r="AH25" s="33">
        <v>0.37480000000000002</v>
      </c>
      <c r="AI25" s="32">
        <v>1.8479000000000001</v>
      </c>
      <c r="AJ25" s="33">
        <v>0.18440000000000001</v>
      </c>
      <c r="AK25" s="33">
        <v>0.2117</v>
      </c>
      <c r="AL25" s="33">
        <v>0.34079999999999999</v>
      </c>
      <c r="AM25" s="33">
        <v>0.37540000000000001</v>
      </c>
      <c r="AN25" s="33">
        <v>0.31480000000000002</v>
      </c>
    </row>
    <row r="26" spans="1:41">
      <c r="A26" s="29" t="s">
        <v>98</v>
      </c>
      <c r="B26" s="10">
        <v>2</v>
      </c>
      <c r="C26" s="29" t="s">
        <v>81</v>
      </c>
      <c r="D26" s="30">
        <v>597676.69999999995</v>
      </c>
      <c r="E26" s="30">
        <v>5851816.5999999996</v>
      </c>
      <c r="F26" s="31">
        <v>23.6</v>
      </c>
      <c r="H26" s="29" t="s">
        <v>111</v>
      </c>
      <c r="I26" s="27" t="s">
        <v>65</v>
      </c>
      <c r="J26" s="31">
        <v>0.06</v>
      </c>
      <c r="K26" s="31">
        <v>0.52</v>
      </c>
      <c r="L26" s="17">
        <f>F26+J26</f>
        <v>23.66</v>
      </c>
      <c r="M26" s="16">
        <f>F26+K26</f>
        <v>24.12</v>
      </c>
      <c r="N26" s="12">
        <f>(L26+M26)/2</f>
        <v>23.89</v>
      </c>
      <c r="O26" s="11">
        <f>ROUND(N26,0)</f>
        <v>24</v>
      </c>
      <c r="P26" s="13">
        <v>0</v>
      </c>
      <c r="Q26" s="13">
        <f>K26</f>
        <v>0.52</v>
      </c>
      <c r="R26" s="13">
        <f>P26+F26</f>
        <v>23.6</v>
      </c>
      <c r="S26" s="13">
        <f>F26+Q26</f>
        <v>24.12</v>
      </c>
      <c r="T26" s="13">
        <f>(R26+S26)/2</f>
        <v>23.86</v>
      </c>
      <c r="U26" s="14">
        <f>ROUND(T26,0)</f>
        <v>24</v>
      </c>
      <c r="V26" s="34">
        <v>0.56000000000000005</v>
      </c>
      <c r="W26" s="31">
        <v>98.54</v>
      </c>
      <c r="X26" s="31">
        <v>0.9</v>
      </c>
      <c r="Y26" s="31">
        <v>0.65</v>
      </c>
      <c r="Z26" s="31">
        <v>0.5</v>
      </c>
      <c r="AA26" s="34">
        <v>0.9</v>
      </c>
      <c r="AB26" s="31">
        <v>0.75</v>
      </c>
      <c r="AC26" s="32">
        <v>1.4789000000000001</v>
      </c>
      <c r="AD26" s="33">
        <v>0.1459</v>
      </c>
      <c r="AE26" s="33">
        <v>0.16220000000000001</v>
      </c>
      <c r="AF26" s="33">
        <v>0.20619999999999999</v>
      </c>
      <c r="AG26" s="33">
        <v>0.21579999999999999</v>
      </c>
      <c r="AH26" s="33">
        <v>0.2258</v>
      </c>
      <c r="AI26" s="32">
        <v>1.4595</v>
      </c>
      <c r="AJ26" s="33">
        <v>0.14779999999999999</v>
      </c>
      <c r="AK26" s="33">
        <v>0.1641</v>
      </c>
      <c r="AL26" s="33">
        <v>0.2157</v>
      </c>
      <c r="AM26" s="33">
        <v>0.22559999999999999</v>
      </c>
      <c r="AN26" s="33">
        <v>0.20630000000000001</v>
      </c>
    </row>
    <row r="27" spans="1:41">
      <c r="A27" s="29" t="s">
        <v>98</v>
      </c>
      <c r="B27" s="10">
        <v>2</v>
      </c>
      <c r="C27" s="29" t="s">
        <v>81</v>
      </c>
      <c r="D27" s="30">
        <v>597676.69999999995</v>
      </c>
      <c r="E27" s="30">
        <v>5851816.5999999996</v>
      </c>
      <c r="F27" s="31">
        <v>23.6</v>
      </c>
      <c r="G27" s="16"/>
      <c r="H27" s="29" t="s">
        <v>111</v>
      </c>
      <c r="I27" s="27" t="s">
        <v>58</v>
      </c>
      <c r="J27" s="31">
        <v>0.52</v>
      </c>
      <c r="K27" s="31">
        <v>1</v>
      </c>
      <c r="L27" s="17">
        <f>F27+J27</f>
        <v>24.12</v>
      </c>
      <c r="M27" s="16">
        <f>F27+K27</f>
        <v>24.6</v>
      </c>
      <c r="N27" s="12">
        <f>(L27+M27)/2</f>
        <v>24.36</v>
      </c>
      <c r="O27" s="11">
        <f>ROUND(N27,0)</f>
        <v>24</v>
      </c>
      <c r="P27" s="13">
        <f>J27</f>
        <v>0.52</v>
      </c>
      <c r="Q27" s="13">
        <f>K27</f>
        <v>1</v>
      </c>
      <c r="R27" s="13">
        <f>P27+F27</f>
        <v>24.12</v>
      </c>
      <c r="S27" s="13">
        <f>F27+Q27</f>
        <v>24.6</v>
      </c>
      <c r="T27" s="13">
        <f>(R27+S27)/2</f>
        <v>24.36</v>
      </c>
      <c r="U27" s="14">
        <f>ROUND(T27,0)</f>
        <v>24</v>
      </c>
      <c r="V27" s="34">
        <v>1.18</v>
      </c>
      <c r="W27" s="31">
        <v>96.84</v>
      </c>
      <c r="X27" s="31">
        <v>1.98</v>
      </c>
      <c r="Y27" s="31">
        <v>1.67</v>
      </c>
      <c r="Z27" s="31">
        <v>1.17</v>
      </c>
      <c r="AA27" s="34">
        <v>1.98</v>
      </c>
      <c r="AB27" s="31">
        <v>1.48</v>
      </c>
      <c r="AC27" s="32">
        <v>1.5008999999999999</v>
      </c>
      <c r="AD27" s="33">
        <v>0.14319999999999999</v>
      </c>
      <c r="AE27" s="33">
        <v>0.1585</v>
      </c>
      <c r="AF27" s="33">
        <v>0.20530000000000001</v>
      </c>
      <c r="AG27" s="33">
        <v>0.215</v>
      </c>
      <c r="AH27" s="33">
        <v>0.22500000000000001</v>
      </c>
      <c r="AI27" s="32">
        <v>1.4636</v>
      </c>
      <c r="AJ27" s="33">
        <v>0.14680000000000001</v>
      </c>
      <c r="AK27" s="33">
        <v>0.16200000000000001</v>
      </c>
      <c r="AL27" s="33">
        <v>0.21479999999999999</v>
      </c>
      <c r="AM27" s="33">
        <v>0.22459999999999999</v>
      </c>
      <c r="AN27" s="33">
        <v>0.20549999999999999</v>
      </c>
    </row>
    <row r="28" spans="1:41">
      <c r="A28" s="29" t="s">
        <v>98</v>
      </c>
      <c r="B28" s="10">
        <v>2</v>
      </c>
      <c r="C28" s="29" t="s">
        <v>81</v>
      </c>
      <c r="D28" s="30">
        <v>597676.69999999995</v>
      </c>
      <c r="E28" s="30">
        <v>5851816.5999999996</v>
      </c>
      <c r="F28" s="31">
        <v>23.6</v>
      </c>
      <c r="G28" s="16"/>
      <c r="H28" s="29" t="s">
        <v>112</v>
      </c>
      <c r="I28" s="27" t="s">
        <v>59</v>
      </c>
      <c r="J28" s="31">
        <v>1.05</v>
      </c>
      <c r="K28" s="31">
        <v>2</v>
      </c>
      <c r="L28" s="17">
        <f>F28+J28</f>
        <v>24.650000000000002</v>
      </c>
      <c r="M28" s="16">
        <f>F28+K28</f>
        <v>25.6</v>
      </c>
      <c r="N28" s="12">
        <f>(L28+M28)/2</f>
        <v>25.125</v>
      </c>
      <c r="O28" s="11">
        <f>ROUND(N28,0)</f>
        <v>25</v>
      </c>
      <c r="P28" s="13">
        <v>1</v>
      </c>
      <c r="Q28" s="13">
        <f>K28</f>
        <v>2</v>
      </c>
      <c r="R28" s="13">
        <f>P28+F28</f>
        <v>24.6</v>
      </c>
      <c r="S28" s="13">
        <f>F28+Q28</f>
        <v>25.6</v>
      </c>
      <c r="T28" s="13">
        <f>(R28+S28)/2</f>
        <v>25.1</v>
      </c>
      <c r="U28" s="14">
        <f>ROUND(T28,0)</f>
        <v>25</v>
      </c>
      <c r="V28" s="34">
        <v>0.28000000000000003</v>
      </c>
      <c r="W28" s="31">
        <v>98.54</v>
      </c>
      <c r="X28" s="31">
        <v>1.17</v>
      </c>
      <c r="Y28" s="31">
        <v>0.96</v>
      </c>
      <c r="Z28" s="31">
        <v>0.67</v>
      </c>
      <c r="AA28" s="34">
        <v>1.17</v>
      </c>
      <c r="AB28" s="31">
        <v>0.88</v>
      </c>
      <c r="AC28" s="32">
        <v>1.5871</v>
      </c>
      <c r="AD28" s="33">
        <v>0.14230000000000001</v>
      </c>
      <c r="AE28" s="33">
        <v>0.15559999999999999</v>
      </c>
      <c r="AF28" s="33">
        <v>0.21229999999999999</v>
      </c>
      <c r="AG28" s="33">
        <v>0.2258</v>
      </c>
      <c r="AH28" s="33">
        <v>0.24010000000000001</v>
      </c>
      <c r="AI28" s="32">
        <v>1.5673999999999999</v>
      </c>
      <c r="AJ28" s="33">
        <v>0.14419999999999999</v>
      </c>
      <c r="AK28" s="33">
        <v>0.1575</v>
      </c>
      <c r="AL28" s="33">
        <v>0.2261</v>
      </c>
      <c r="AM28" s="33">
        <v>0.2402</v>
      </c>
      <c r="AN28" s="33">
        <v>0.2127</v>
      </c>
    </row>
    <row r="29" spans="1:41">
      <c r="A29" s="29" t="s">
        <v>98</v>
      </c>
      <c r="B29" s="10">
        <v>2</v>
      </c>
      <c r="C29" s="29" t="s">
        <v>81</v>
      </c>
      <c r="D29" s="30">
        <v>597676.69999999995</v>
      </c>
      <c r="E29" s="30">
        <v>5851816.5999999996</v>
      </c>
      <c r="F29" s="31">
        <v>23.6</v>
      </c>
      <c r="H29" s="29" t="s">
        <v>113</v>
      </c>
      <c r="I29" s="27" t="s">
        <v>60</v>
      </c>
      <c r="J29" s="31">
        <v>2.16</v>
      </c>
      <c r="K29" s="31">
        <v>3</v>
      </c>
      <c r="L29" s="17">
        <f>F29+J29</f>
        <v>25.76</v>
      </c>
      <c r="M29" s="16">
        <f>F29+K29</f>
        <v>26.6</v>
      </c>
      <c r="N29" s="12">
        <f>(L29+M29)/2</f>
        <v>26.18</v>
      </c>
      <c r="O29" s="11">
        <f>ROUND(N29,0)</f>
        <v>26</v>
      </c>
      <c r="P29" s="13">
        <v>2</v>
      </c>
      <c r="Q29" s="13">
        <f>K29</f>
        <v>3</v>
      </c>
      <c r="R29" s="13">
        <f>P29+F29</f>
        <v>25.6</v>
      </c>
      <c r="S29" s="13">
        <f>F29+Q29</f>
        <v>26.6</v>
      </c>
      <c r="T29" s="13">
        <f>(R29+S29)/2</f>
        <v>26.1</v>
      </c>
      <c r="U29" s="14">
        <f>ROUND(T29,0)</f>
        <v>26</v>
      </c>
      <c r="V29" s="34">
        <v>0.04</v>
      </c>
      <c r="W29" s="31">
        <v>98.58</v>
      </c>
      <c r="X29" s="31">
        <v>1.39</v>
      </c>
      <c r="Y29" s="31">
        <v>1.07</v>
      </c>
      <c r="Z29" s="31">
        <v>0.67</v>
      </c>
      <c r="AA29" s="34">
        <v>1.39</v>
      </c>
      <c r="AB29" s="31">
        <v>0.99</v>
      </c>
      <c r="AC29" s="32">
        <v>1.8281000000000001</v>
      </c>
      <c r="AD29" s="33">
        <v>0.1363</v>
      </c>
      <c r="AE29" s="33">
        <v>0.15010000000000001</v>
      </c>
      <c r="AF29" s="33">
        <v>0.22739999999999999</v>
      </c>
      <c r="AG29" s="33">
        <v>0.2492</v>
      </c>
      <c r="AH29" s="33">
        <v>0.28060000000000002</v>
      </c>
      <c r="AI29" s="32">
        <v>1.8032999999999999</v>
      </c>
      <c r="AJ29" s="33">
        <v>0.13869999999999999</v>
      </c>
      <c r="AK29" s="33">
        <v>0.1525</v>
      </c>
      <c r="AL29" s="33">
        <v>0.25</v>
      </c>
      <c r="AM29" s="33">
        <v>0.28149999999999997</v>
      </c>
      <c r="AN29" s="33">
        <v>0.22839999999999999</v>
      </c>
      <c r="AO29" s="2"/>
    </row>
    <row r="30" spans="1:41">
      <c r="A30" s="29" t="s">
        <v>98</v>
      </c>
      <c r="B30" s="10">
        <v>2</v>
      </c>
      <c r="C30" s="29" t="s">
        <v>81</v>
      </c>
      <c r="D30" s="30">
        <v>597676.69999999995</v>
      </c>
      <c r="E30" s="30">
        <v>5851816.5999999996</v>
      </c>
      <c r="F30" s="31">
        <v>23.6</v>
      </c>
      <c r="H30" s="29" t="s">
        <v>116</v>
      </c>
      <c r="I30" s="27" t="s">
        <v>63</v>
      </c>
      <c r="J30" s="31">
        <v>3.32</v>
      </c>
      <c r="K30" s="31">
        <v>4</v>
      </c>
      <c r="L30" s="17">
        <f>F30+J30</f>
        <v>26.92</v>
      </c>
      <c r="M30" s="16">
        <f>F30+K30</f>
        <v>27.6</v>
      </c>
      <c r="N30" s="12">
        <f>(L30+M30)/2</f>
        <v>27.26</v>
      </c>
      <c r="O30" s="11">
        <f>ROUND(N30,0)</f>
        <v>27</v>
      </c>
      <c r="P30" s="13">
        <v>3</v>
      </c>
      <c r="Q30" s="13">
        <f>K30</f>
        <v>4</v>
      </c>
      <c r="R30" s="13">
        <f>P30+F30</f>
        <v>26.6</v>
      </c>
      <c r="S30" s="13">
        <f>F30+Q30</f>
        <v>27.6</v>
      </c>
      <c r="T30" s="13">
        <f>(R30+S30)/2</f>
        <v>27.1</v>
      </c>
      <c r="U30" s="14">
        <f>ROUND(T30,0)</f>
        <v>27</v>
      </c>
      <c r="V30" s="34">
        <v>0.03</v>
      </c>
      <c r="W30" s="31">
        <v>98.54</v>
      </c>
      <c r="X30" s="31">
        <v>1.44</v>
      </c>
      <c r="Y30" s="31">
        <v>1.23</v>
      </c>
      <c r="Z30" s="31">
        <v>0.82</v>
      </c>
      <c r="AA30" s="34">
        <v>1.44</v>
      </c>
      <c r="AB30" s="31">
        <v>1.02</v>
      </c>
      <c r="AC30" s="32">
        <v>1.8306</v>
      </c>
      <c r="AD30" s="33">
        <v>0.13600000000000001</v>
      </c>
      <c r="AE30" s="33">
        <v>0.14949999999999999</v>
      </c>
      <c r="AF30" s="33">
        <v>0.2271</v>
      </c>
      <c r="AG30" s="33">
        <v>0.249</v>
      </c>
      <c r="AH30" s="33">
        <v>0.27910000000000001</v>
      </c>
      <c r="AI30" s="32">
        <v>1.8055000000000001</v>
      </c>
      <c r="AJ30" s="33">
        <v>0.1384</v>
      </c>
      <c r="AK30" s="33">
        <v>0.152</v>
      </c>
      <c r="AL30" s="33">
        <v>0.24990000000000001</v>
      </c>
      <c r="AM30" s="33">
        <v>0.28000000000000003</v>
      </c>
      <c r="AN30" s="33">
        <v>0.2281</v>
      </c>
    </row>
    <row r="31" spans="1:41">
      <c r="A31" s="29" t="s">
        <v>98</v>
      </c>
      <c r="B31" s="10">
        <v>2</v>
      </c>
      <c r="C31" s="29" t="s">
        <v>81</v>
      </c>
      <c r="D31" s="30">
        <v>597676.69999999995</v>
      </c>
      <c r="E31" s="30">
        <v>5851816.5999999996</v>
      </c>
      <c r="F31" s="31">
        <v>23.6</v>
      </c>
      <c r="H31" s="29" t="s">
        <v>114</v>
      </c>
      <c r="I31" s="27" t="s">
        <v>61</v>
      </c>
      <c r="J31" s="31">
        <v>4.03</v>
      </c>
      <c r="K31" s="31">
        <v>5</v>
      </c>
      <c r="L31" s="17">
        <f>F31+J31</f>
        <v>27.630000000000003</v>
      </c>
      <c r="M31" s="16">
        <f>F31+K31</f>
        <v>28.6</v>
      </c>
      <c r="N31" s="12">
        <f>(L31+M31)/2</f>
        <v>28.115000000000002</v>
      </c>
      <c r="O31" s="11">
        <f>ROUND(N31,0)</f>
        <v>28</v>
      </c>
      <c r="P31" s="13">
        <v>4</v>
      </c>
      <c r="Q31" s="13">
        <v>5.18</v>
      </c>
      <c r="R31" s="13">
        <f>P31+F31</f>
        <v>27.6</v>
      </c>
      <c r="S31" s="13">
        <f>F31+Q31</f>
        <v>28.78</v>
      </c>
      <c r="T31" s="13">
        <f>(R31+S31)/2</f>
        <v>28.19</v>
      </c>
      <c r="U31" s="14">
        <f>ROUND(T31,0)</f>
        <v>28</v>
      </c>
      <c r="V31" s="34">
        <v>0</v>
      </c>
      <c r="W31" s="31">
        <v>99.04</v>
      </c>
      <c r="X31" s="31">
        <v>0.96</v>
      </c>
      <c r="Y31" s="31">
        <v>0.8</v>
      </c>
      <c r="Z31" s="31">
        <v>0.62</v>
      </c>
      <c r="AA31" s="34">
        <v>0.96</v>
      </c>
      <c r="AB31" s="31">
        <v>0.79</v>
      </c>
      <c r="AC31" s="32">
        <v>1.6887000000000001</v>
      </c>
      <c r="AD31" s="33">
        <v>0.1431</v>
      </c>
      <c r="AE31" s="33">
        <v>0.15989999999999999</v>
      </c>
      <c r="AF31" s="33">
        <v>0.22439999999999999</v>
      </c>
      <c r="AG31" s="33">
        <v>0.2417</v>
      </c>
      <c r="AH31" s="33">
        <v>0.26640000000000003</v>
      </c>
      <c r="AI31" s="32">
        <v>1.6664000000000001</v>
      </c>
      <c r="AJ31" s="33">
        <v>0.1454</v>
      </c>
      <c r="AK31" s="33">
        <v>0.16220000000000001</v>
      </c>
      <c r="AL31" s="33">
        <v>0.2422</v>
      </c>
      <c r="AM31" s="33">
        <v>0.26719999999999999</v>
      </c>
      <c r="AN31" s="33">
        <v>0.22500000000000001</v>
      </c>
    </row>
    <row r="32" spans="1:41">
      <c r="A32" s="29" t="s">
        <v>99</v>
      </c>
      <c r="B32" s="10">
        <v>2</v>
      </c>
      <c r="C32" s="29" t="s">
        <v>82</v>
      </c>
      <c r="D32" s="30">
        <v>597966.80000000005</v>
      </c>
      <c r="E32" s="30">
        <v>5851811.2000000002</v>
      </c>
      <c r="F32" s="31">
        <v>24.8</v>
      </c>
      <c r="H32" s="29" t="s">
        <v>111</v>
      </c>
      <c r="I32" s="27" t="s">
        <v>58</v>
      </c>
      <c r="J32" s="31">
        <v>0.55000000000000004</v>
      </c>
      <c r="K32" s="31">
        <v>1</v>
      </c>
      <c r="L32" s="17">
        <f>F32+J32</f>
        <v>25.35</v>
      </c>
      <c r="M32" s="16">
        <f>F32+K32</f>
        <v>25.8</v>
      </c>
      <c r="N32" s="12">
        <f>(L32+M32)/2</f>
        <v>25.575000000000003</v>
      </c>
      <c r="O32" s="11">
        <f>ROUND(N32,0)</f>
        <v>26</v>
      </c>
      <c r="P32" s="13">
        <v>0</v>
      </c>
      <c r="Q32" s="13">
        <f>K32</f>
        <v>1</v>
      </c>
      <c r="R32" s="13">
        <f>P32+F32</f>
        <v>24.8</v>
      </c>
      <c r="S32" s="13">
        <f>F32+Q32</f>
        <v>25.8</v>
      </c>
      <c r="T32" s="13">
        <f>(R32+S32)/2</f>
        <v>25.3</v>
      </c>
      <c r="U32" s="14">
        <f>ROUND(T32,0)</f>
        <v>25</v>
      </c>
      <c r="V32" s="34">
        <v>0.03</v>
      </c>
      <c r="W32" s="31">
        <v>98.56</v>
      </c>
      <c r="X32" s="31">
        <v>1.41</v>
      </c>
      <c r="Y32" s="31">
        <v>1.17</v>
      </c>
      <c r="Z32" s="31">
        <v>0.55000000000000004</v>
      </c>
      <c r="AA32" s="34">
        <v>1.41</v>
      </c>
      <c r="AB32" s="31">
        <v>0.79</v>
      </c>
      <c r="AC32" s="32">
        <v>1.6371</v>
      </c>
      <c r="AD32" s="33">
        <v>0.1356</v>
      </c>
      <c r="AE32" s="33">
        <v>0.1452</v>
      </c>
      <c r="AF32" s="33">
        <v>0.20669999999999999</v>
      </c>
      <c r="AG32" s="33">
        <v>0.222</v>
      </c>
      <c r="AH32" s="33">
        <v>0.2384</v>
      </c>
      <c r="AI32" s="32">
        <v>1.6247</v>
      </c>
      <c r="AJ32" s="33">
        <v>0.13689999999999999</v>
      </c>
      <c r="AK32" s="33">
        <v>0.14660000000000001</v>
      </c>
      <c r="AL32" s="33">
        <v>0.2225</v>
      </c>
      <c r="AM32" s="33">
        <v>0.23880000000000001</v>
      </c>
      <c r="AN32" s="33">
        <v>0.20730000000000001</v>
      </c>
    </row>
    <row r="33" spans="1:42">
      <c r="A33" s="29" t="s">
        <v>99</v>
      </c>
      <c r="B33" s="10">
        <v>2</v>
      </c>
      <c r="C33" s="29" t="s">
        <v>82</v>
      </c>
      <c r="D33" s="30">
        <v>597966.80000000005</v>
      </c>
      <c r="E33" s="30">
        <v>5851811.2000000002</v>
      </c>
      <c r="F33" s="31">
        <v>24.8</v>
      </c>
      <c r="H33" s="29" t="s">
        <v>112</v>
      </c>
      <c r="I33" s="27" t="s">
        <v>59</v>
      </c>
      <c r="J33" s="31">
        <v>1.1399999999999999</v>
      </c>
      <c r="K33" s="31">
        <v>2</v>
      </c>
      <c r="L33" s="17">
        <f>F33+J33</f>
        <v>25.94</v>
      </c>
      <c r="M33" s="16">
        <f>F33+K33</f>
        <v>26.8</v>
      </c>
      <c r="N33" s="12">
        <f>(L33+M33)/2</f>
        <v>26.37</v>
      </c>
      <c r="O33" s="11">
        <f>ROUND(N33,0)</f>
        <v>26</v>
      </c>
      <c r="P33" s="13">
        <v>1</v>
      </c>
      <c r="Q33" s="13">
        <f>K33</f>
        <v>2</v>
      </c>
      <c r="R33" s="13">
        <f>P33+F33</f>
        <v>25.8</v>
      </c>
      <c r="S33" s="13">
        <f>F33+Q33</f>
        <v>26.8</v>
      </c>
      <c r="T33" s="13">
        <f>(R33+S33)/2</f>
        <v>26.3</v>
      </c>
      <c r="U33" s="14">
        <f>ROUND(T33,0)</f>
        <v>26</v>
      </c>
      <c r="V33" s="34">
        <v>0.03</v>
      </c>
      <c r="W33" s="31">
        <v>98.9</v>
      </c>
      <c r="X33" s="31">
        <v>1.07</v>
      </c>
      <c r="Y33" s="31">
        <v>0.75</v>
      </c>
      <c r="Z33" s="31">
        <v>0.46</v>
      </c>
      <c r="AA33" s="34">
        <v>1.07</v>
      </c>
      <c r="AB33" s="31">
        <v>0.78</v>
      </c>
      <c r="AC33" s="32">
        <v>1.6535</v>
      </c>
      <c r="AD33" s="33">
        <v>0.1366</v>
      </c>
      <c r="AE33" s="33">
        <v>0.14699999999999999</v>
      </c>
      <c r="AF33" s="33">
        <v>0.21</v>
      </c>
      <c r="AG33" s="33">
        <v>0.22589999999999999</v>
      </c>
      <c r="AH33" s="33">
        <v>0.24299999999999999</v>
      </c>
      <c r="AI33" s="32">
        <v>1.6402000000000001</v>
      </c>
      <c r="AJ33" s="33">
        <v>0.13800000000000001</v>
      </c>
      <c r="AK33" s="33">
        <v>0.1484</v>
      </c>
      <c r="AL33" s="33">
        <v>0.22639999999999999</v>
      </c>
      <c r="AM33" s="33">
        <v>0.24340000000000001</v>
      </c>
      <c r="AN33" s="33">
        <v>0.21060000000000001</v>
      </c>
    </row>
    <row r="34" spans="1:42">
      <c r="A34" s="29" t="s">
        <v>99</v>
      </c>
      <c r="B34" s="10">
        <v>2</v>
      </c>
      <c r="C34" s="29" t="s">
        <v>82</v>
      </c>
      <c r="D34" s="30">
        <v>597966.80000000005</v>
      </c>
      <c r="E34" s="30">
        <v>5851811.2000000002</v>
      </c>
      <c r="F34" s="31">
        <v>24.8</v>
      </c>
      <c r="H34" s="29" t="s">
        <v>113</v>
      </c>
      <c r="I34" s="27" t="s">
        <v>60</v>
      </c>
      <c r="J34" s="31">
        <v>2.0299999999999998</v>
      </c>
      <c r="K34" s="31">
        <v>3</v>
      </c>
      <c r="L34" s="17">
        <f>F34+J34</f>
        <v>26.830000000000002</v>
      </c>
      <c r="M34" s="16">
        <f>F34+K34</f>
        <v>27.8</v>
      </c>
      <c r="N34" s="12">
        <f>(L34+M34)/2</f>
        <v>27.315000000000001</v>
      </c>
      <c r="O34" s="11">
        <f>ROUND(N34,0)</f>
        <v>27</v>
      </c>
      <c r="P34" s="13">
        <v>2</v>
      </c>
      <c r="Q34" s="13">
        <f>K34</f>
        <v>3</v>
      </c>
      <c r="R34" s="13">
        <f>P34+F34</f>
        <v>26.8</v>
      </c>
      <c r="S34" s="13">
        <f>F34+Q34</f>
        <v>27.8</v>
      </c>
      <c r="T34" s="13">
        <f>(R34+S34)/2</f>
        <v>27.3</v>
      </c>
      <c r="U34" s="14">
        <f>ROUND(T34,0)</f>
        <v>27</v>
      </c>
      <c r="V34" s="34">
        <v>0.35</v>
      </c>
      <c r="W34" s="31">
        <v>98.72</v>
      </c>
      <c r="X34" s="31">
        <v>0.94</v>
      </c>
      <c r="Y34" s="31">
        <v>0.69</v>
      </c>
      <c r="Z34" s="31">
        <v>0.44</v>
      </c>
      <c r="AA34" s="34">
        <v>0.94</v>
      </c>
      <c r="AB34" s="31">
        <v>0.68</v>
      </c>
      <c r="AC34" s="32">
        <v>1.6897</v>
      </c>
      <c r="AD34" s="33">
        <v>0.13969999999999999</v>
      </c>
      <c r="AE34" s="33">
        <v>0.15190000000000001</v>
      </c>
      <c r="AF34" s="33">
        <v>0.21840000000000001</v>
      </c>
      <c r="AG34" s="33">
        <v>0.2361</v>
      </c>
      <c r="AH34" s="33">
        <v>0.2586</v>
      </c>
      <c r="AI34" s="32">
        <v>1.6741999999999999</v>
      </c>
      <c r="AJ34" s="33">
        <v>0.1411</v>
      </c>
      <c r="AK34" s="33">
        <v>0.15329999999999999</v>
      </c>
      <c r="AL34" s="33">
        <v>0.23619999999999999</v>
      </c>
      <c r="AM34" s="33">
        <v>0.25850000000000001</v>
      </c>
      <c r="AN34" s="33">
        <v>0.21870000000000001</v>
      </c>
    </row>
    <row r="35" spans="1:42">
      <c r="A35" s="29" t="s">
        <v>99</v>
      </c>
      <c r="B35" s="10">
        <v>2</v>
      </c>
      <c r="C35" s="29" t="s">
        <v>82</v>
      </c>
      <c r="D35" s="30">
        <v>597966.80000000005</v>
      </c>
      <c r="E35" s="30">
        <v>5851811.2000000002</v>
      </c>
      <c r="F35" s="31">
        <v>24.8</v>
      </c>
      <c r="G35" s="16"/>
      <c r="H35" s="29" t="s">
        <v>119</v>
      </c>
      <c r="I35" s="27" t="s">
        <v>63</v>
      </c>
      <c r="J35" s="31">
        <v>3.06</v>
      </c>
      <c r="K35" s="31">
        <v>4</v>
      </c>
      <c r="L35" s="17">
        <f>F35+J35</f>
        <v>27.86</v>
      </c>
      <c r="M35" s="16">
        <f>F35+K35</f>
        <v>28.8</v>
      </c>
      <c r="N35" s="12">
        <f>(L35+M35)/2</f>
        <v>28.33</v>
      </c>
      <c r="O35" s="11">
        <f>ROUND(N35,0)</f>
        <v>28</v>
      </c>
      <c r="P35" s="13">
        <v>3</v>
      </c>
      <c r="Q35" s="13">
        <f>K35</f>
        <v>4</v>
      </c>
      <c r="R35" s="13">
        <f>P35+F35</f>
        <v>27.8</v>
      </c>
      <c r="S35" s="13">
        <f>F35+Q35</f>
        <v>28.8</v>
      </c>
      <c r="T35" s="13">
        <f>(R35+S35)/2</f>
        <v>28.3</v>
      </c>
      <c r="U35" s="14">
        <f>ROUND(T35,0)</f>
        <v>28</v>
      </c>
      <c r="V35" s="34">
        <v>2.79</v>
      </c>
      <c r="W35" s="31">
        <v>96.48</v>
      </c>
      <c r="X35" s="31">
        <v>0.73</v>
      </c>
      <c r="Y35" s="31">
        <v>0.61</v>
      </c>
      <c r="Z35" s="31">
        <v>0.52</v>
      </c>
      <c r="AA35" s="34">
        <v>0.73</v>
      </c>
      <c r="AB35" s="31">
        <v>0.65</v>
      </c>
      <c r="AC35" s="32">
        <v>1.6789000000000001</v>
      </c>
      <c r="AD35" s="33">
        <v>0.14000000000000001</v>
      </c>
      <c r="AE35" s="33">
        <v>0.1522</v>
      </c>
      <c r="AF35" s="33">
        <v>0.21779999999999999</v>
      </c>
      <c r="AG35" s="33">
        <v>0.2351</v>
      </c>
      <c r="AH35" s="33">
        <v>0.25659999999999999</v>
      </c>
      <c r="AI35" s="32">
        <v>1.6525000000000001</v>
      </c>
      <c r="AJ35" s="33">
        <v>0.14069999999999999</v>
      </c>
      <c r="AK35" s="33">
        <v>0.15260000000000001</v>
      </c>
      <c r="AL35" s="33">
        <v>0.23250000000000001</v>
      </c>
      <c r="AM35" s="33">
        <v>0.25059999999999999</v>
      </c>
      <c r="AN35" s="33">
        <v>0.216</v>
      </c>
    </row>
    <row r="36" spans="1:42">
      <c r="A36" s="29" t="s">
        <v>99</v>
      </c>
      <c r="B36" s="10">
        <v>2</v>
      </c>
      <c r="C36" s="29" t="s">
        <v>82</v>
      </c>
      <c r="D36" s="30">
        <v>597966.80000000005</v>
      </c>
      <c r="E36" s="30">
        <v>5851811.2000000002</v>
      </c>
      <c r="F36" s="31">
        <v>24.8</v>
      </c>
      <c r="H36" s="29" t="s">
        <v>120</v>
      </c>
      <c r="I36" s="27" t="s">
        <v>61</v>
      </c>
      <c r="J36" s="31">
        <v>4</v>
      </c>
      <c r="K36" s="31">
        <v>4.4000000000000004</v>
      </c>
      <c r="L36" s="17">
        <f>F36+J36</f>
        <v>28.8</v>
      </c>
      <c r="M36" s="16">
        <f>F36+K36</f>
        <v>29.200000000000003</v>
      </c>
      <c r="N36" s="12">
        <f>(L36+M36)/2</f>
        <v>29</v>
      </c>
      <c r="O36" s="11">
        <f>ROUND(N36,0)</f>
        <v>29</v>
      </c>
      <c r="P36" s="13">
        <f>J36</f>
        <v>4</v>
      </c>
      <c r="Q36" s="13">
        <f>K36</f>
        <v>4.4000000000000004</v>
      </c>
      <c r="R36" s="13">
        <f>P36+F36</f>
        <v>28.8</v>
      </c>
      <c r="S36" s="13">
        <f>F36+Q36</f>
        <v>29.200000000000003</v>
      </c>
      <c r="T36" s="13">
        <f>(R36+S36)/2</f>
        <v>29</v>
      </c>
      <c r="U36" s="14">
        <f>ROUND(T36,0)</f>
        <v>29</v>
      </c>
      <c r="V36" s="34">
        <v>2.66</v>
      </c>
      <c r="W36" s="31">
        <v>96.12</v>
      </c>
      <c r="X36" s="31">
        <v>1.21</v>
      </c>
      <c r="Y36" s="31">
        <v>1.07</v>
      </c>
      <c r="Z36" s="31">
        <v>0.51</v>
      </c>
      <c r="AA36" s="34">
        <v>1.21</v>
      </c>
      <c r="AB36" s="31">
        <v>0.65</v>
      </c>
      <c r="AC36" s="32">
        <v>1.6476</v>
      </c>
      <c r="AD36" s="33">
        <v>0.13739999999999999</v>
      </c>
      <c r="AE36" s="33">
        <v>0.1477</v>
      </c>
      <c r="AF36" s="33">
        <v>0.2104</v>
      </c>
      <c r="AG36" s="33">
        <v>0.22639999999999999</v>
      </c>
      <c r="AH36" s="33">
        <v>0.24360000000000001</v>
      </c>
      <c r="AI36" s="32">
        <v>1.6240000000000001</v>
      </c>
      <c r="AJ36" s="33">
        <v>0.13800000000000001</v>
      </c>
      <c r="AK36" s="33">
        <v>0.14799999999999999</v>
      </c>
      <c r="AL36" s="33">
        <v>0.22420000000000001</v>
      </c>
      <c r="AM36" s="33">
        <v>0.24060000000000001</v>
      </c>
      <c r="AN36" s="33">
        <v>0.2089</v>
      </c>
    </row>
    <row r="37" spans="1:42">
      <c r="A37" s="29" t="s">
        <v>100</v>
      </c>
      <c r="B37" s="10">
        <v>2</v>
      </c>
      <c r="C37" s="29" t="s">
        <v>83</v>
      </c>
      <c r="D37" s="30">
        <v>598733.4</v>
      </c>
      <c r="E37" s="30">
        <v>5851814.5999999996</v>
      </c>
      <c r="F37" s="31">
        <v>23.7</v>
      </c>
      <c r="H37" s="29" t="s">
        <v>111</v>
      </c>
      <c r="I37" s="27" t="s">
        <v>65</v>
      </c>
      <c r="J37" s="31">
        <v>0.1</v>
      </c>
      <c r="K37" s="31">
        <v>0.52</v>
      </c>
      <c r="L37" s="17">
        <f>F37+J37</f>
        <v>23.8</v>
      </c>
      <c r="M37" s="16">
        <f>F37+K37</f>
        <v>24.22</v>
      </c>
      <c r="N37" s="12">
        <f>(L37+M37)/2</f>
        <v>24.009999999999998</v>
      </c>
      <c r="O37" s="11">
        <f>ROUND(N37,0)</f>
        <v>24</v>
      </c>
      <c r="P37" s="13">
        <v>0</v>
      </c>
      <c r="Q37" s="13">
        <f>K37</f>
        <v>0.52</v>
      </c>
      <c r="R37" s="13">
        <f>P37+F37</f>
        <v>23.7</v>
      </c>
      <c r="S37" s="13">
        <f>F37+Q37</f>
        <v>24.22</v>
      </c>
      <c r="T37" s="13">
        <f>(R37+S37)/2</f>
        <v>23.96</v>
      </c>
      <c r="U37" s="14">
        <f>ROUND(T37,0)</f>
        <v>24</v>
      </c>
      <c r="V37" s="34">
        <v>0.35</v>
      </c>
      <c r="W37" s="31">
        <v>97.92</v>
      </c>
      <c r="X37" s="31">
        <v>1.73</v>
      </c>
      <c r="Y37" s="31">
        <v>1.31</v>
      </c>
      <c r="Z37" s="31">
        <v>1.1200000000000001</v>
      </c>
      <c r="AA37" s="34">
        <v>1.73</v>
      </c>
      <c r="AB37" s="31">
        <v>1.54</v>
      </c>
      <c r="AC37" s="32">
        <v>1.593</v>
      </c>
      <c r="AD37" s="33">
        <v>0.1399</v>
      </c>
      <c r="AE37" s="33">
        <v>0.1525</v>
      </c>
      <c r="AF37" s="33">
        <v>0.20979999999999999</v>
      </c>
      <c r="AG37" s="33">
        <v>0.2228</v>
      </c>
      <c r="AH37" s="33">
        <v>0.2366</v>
      </c>
      <c r="AI37" s="32">
        <v>1.5601</v>
      </c>
      <c r="AJ37" s="33">
        <v>0.1431</v>
      </c>
      <c r="AK37" s="33">
        <v>0.15579999999999999</v>
      </c>
      <c r="AL37" s="33">
        <v>0.2233</v>
      </c>
      <c r="AM37" s="33">
        <v>0.2369</v>
      </c>
      <c r="AN37" s="33">
        <v>0.21049999999999999</v>
      </c>
    </row>
    <row r="38" spans="1:42">
      <c r="A38" s="29" t="s">
        <v>100</v>
      </c>
      <c r="B38" s="10">
        <v>2</v>
      </c>
      <c r="C38" s="29" t="s">
        <v>83</v>
      </c>
      <c r="D38" s="30">
        <v>598733.4</v>
      </c>
      <c r="E38" s="30">
        <v>5851814.5999999996</v>
      </c>
      <c r="F38" s="31">
        <v>23.7</v>
      </c>
      <c r="H38" s="29" t="s">
        <v>111</v>
      </c>
      <c r="I38" s="27" t="s">
        <v>58</v>
      </c>
      <c r="J38" s="31">
        <v>0.52</v>
      </c>
      <c r="K38" s="31">
        <v>1</v>
      </c>
      <c r="L38" s="17">
        <f>F38+J38</f>
        <v>24.22</v>
      </c>
      <c r="M38" s="16">
        <f>F38+K38</f>
        <v>24.7</v>
      </c>
      <c r="N38" s="12">
        <f>(L38+M38)/2</f>
        <v>24.46</v>
      </c>
      <c r="O38" s="11">
        <f>ROUND(N38,0)</f>
        <v>24</v>
      </c>
      <c r="P38" s="13">
        <f>J38</f>
        <v>0.52</v>
      </c>
      <c r="Q38" s="13">
        <v>1.39</v>
      </c>
      <c r="R38" s="13">
        <f>P38+F38</f>
        <v>24.22</v>
      </c>
      <c r="S38" s="13">
        <f>F38+Q38</f>
        <v>25.09</v>
      </c>
      <c r="T38" s="13">
        <f>(R38+S38)/2</f>
        <v>24.655000000000001</v>
      </c>
      <c r="U38" s="14">
        <f>ROUND(T38,0)</f>
        <v>25</v>
      </c>
      <c r="V38" s="34">
        <v>0.26</v>
      </c>
      <c r="W38" s="31">
        <v>97.83</v>
      </c>
      <c r="X38" s="31">
        <v>1.9</v>
      </c>
      <c r="Y38" s="31">
        <v>1.6</v>
      </c>
      <c r="Z38" s="31">
        <v>1.02</v>
      </c>
      <c r="AA38" s="34">
        <v>1.9</v>
      </c>
      <c r="AB38" s="31">
        <v>1.33</v>
      </c>
      <c r="AC38" s="32">
        <v>1.6254999999999999</v>
      </c>
      <c r="AD38" s="33">
        <v>0.13850000000000001</v>
      </c>
      <c r="AE38" s="33">
        <v>0.15010000000000001</v>
      </c>
      <c r="AF38" s="33">
        <v>0.2107</v>
      </c>
      <c r="AG38" s="33">
        <v>0.22520000000000001</v>
      </c>
      <c r="AH38" s="33">
        <v>0.24060000000000001</v>
      </c>
      <c r="AI38" s="32">
        <v>1.599</v>
      </c>
      <c r="AJ38" s="33">
        <v>0.14119999999999999</v>
      </c>
      <c r="AK38" s="33">
        <v>0.15279999999999999</v>
      </c>
      <c r="AL38" s="33">
        <v>0.22570000000000001</v>
      </c>
      <c r="AM38" s="33">
        <v>0.2409</v>
      </c>
      <c r="AN38" s="33">
        <v>0.21149999999999999</v>
      </c>
    </row>
    <row r="39" spans="1:42">
      <c r="A39" s="29" t="s">
        <v>100</v>
      </c>
      <c r="B39" s="10">
        <v>2</v>
      </c>
      <c r="C39" s="29" t="s">
        <v>83</v>
      </c>
      <c r="D39" s="30">
        <v>598733.4</v>
      </c>
      <c r="E39" s="30">
        <v>5851814.5999999996</v>
      </c>
      <c r="F39" s="31">
        <v>23.7</v>
      </c>
      <c r="H39" s="29" t="s">
        <v>112</v>
      </c>
      <c r="I39" s="27" t="s">
        <v>59</v>
      </c>
      <c r="J39" s="31">
        <v>1.39</v>
      </c>
      <c r="K39" s="31">
        <v>2</v>
      </c>
      <c r="L39" s="17">
        <f>F39+J39</f>
        <v>25.09</v>
      </c>
      <c r="M39" s="16">
        <f>F39+K39</f>
        <v>25.7</v>
      </c>
      <c r="N39" s="12">
        <f>(L39+M39)/2</f>
        <v>25.395</v>
      </c>
      <c r="O39" s="11">
        <f>ROUND(N39,0)</f>
        <v>25</v>
      </c>
      <c r="P39" s="13">
        <f>J39</f>
        <v>1.39</v>
      </c>
      <c r="Q39" s="13">
        <v>2</v>
      </c>
      <c r="R39" s="13">
        <f>P39+F39</f>
        <v>25.09</v>
      </c>
      <c r="S39" s="13">
        <f>F39+Q39</f>
        <v>25.7</v>
      </c>
      <c r="T39" s="13">
        <f>(R39+S39)/2</f>
        <v>25.395</v>
      </c>
      <c r="U39" s="14">
        <f>ROUND(T39,0)</f>
        <v>25</v>
      </c>
      <c r="V39" s="34">
        <v>0.06</v>
      </c>
      <c r="W39" s="31">
        <v>98.28</v>
      </c>
      <c r="X39" s="31">
        <v>1.66</v>
      </c>
      <c r="Y39" s="31">
        <v>1.01</v>
      </c>
      <c r="Z39" s="31">
        <v>0.6</v>
      </c>
      <c r="AA39" s="34">
        <v>1.66</v>
      </c>
      <c r="AB39" s="31">
        <v>1.25</v>
      </c>
      <c r="AC39" s="32">
        <v>1.4113</v>
      </c>
      <c r="AD39" s="33">
        <v>0.15759999999999999</v>
      </c>
      <c r="AE39" s="33">
        <v>0.18129999999999999</v>
      </c>
      <c r="AF39" s="33">
        <v>0.21260000000000001</v>
      </c>
      <c r="AG39" s="33">
        <v>0.2225</v>
      </c>
      <c r="AH39" s="33">
        <v>0.23280000000000001</v>
      </c>
      <c r="AI39" s="32">
        <v>1.355</v>
      </c>
      <c r="AJ39" s="33">
        <v>0.16450000000000001</v>
      </c>
      <c r="AK39" s="33">
        <v>0.18210000000000001</v>
      </c>
      <c r="AL39" s="33">
        <v>0.22289999999999999</v>
      </c>
      <c r="AM39" s="33">
        <v>0.23319999999999999</v>
      </c>
      <c r="AN39" s="33">
        <v>0.21310000000000001</v>
      </c>
    </row>
    <row r="40" spans="1:42">
      <c r="A40" s="29" t="s">
        <v>100</v>
      </c>
      <c r="B40" s="10">
        <v>2</v>
      </c>
      <c r="C40" s="29" t="s">
        <v>83</v>
      </c>
      <c r="D40" s="30">
        <v>598733.4</v>
      </c>
      <c r="E40" s="30">
        <v>5851814.5999999996</v>
      </c>
      <c r="F40" s="31">
        <v>23.7</v>
      </c>
      <c r="H40" s="29" t="s">
        <v>117</v>
      </c>
      <c r="I40" s="27" t="s">
        <v>61</v>
      </c>
      <c r="J40" s="31">
        <v>4.04</v>
      </c>
      <c r="K40" s="31">
        <v>5</v>
      </c>
      <c r="L40" s="17">
        <f>F40+J40</f>
        <v>27.74</v>
      </c>
      <c r="M40" s="16">
        <f>F40+K40</f>
        <v>28.7</v>
      </c>
      <c r="N40" s="12">
        <f>(L40+M40)/2</f>
        <v>28.22</v>
      </c>
      <c r="O40" s="11">
        <f>ROUND(N40,0)</f>
        <v>28</v>
      </c>
      <c r="P40" s="13">
        <f>J40</f>
        <v>4.04</v>
      </c>
      <c r="Q40" s="13">
        <v>5</v>
      </c>
      <c r="R40" s="13">
        <f>P40+F40</f>
        <v>27.74</v>
      </c>
      <c r="S40" s="13">
        <f>F40+Q40</f>
        <v>28.7</v>
      </c>
      <c r="T40" s="13">
        <f>(R40+S40)/2</f>
        <v>28.22</v>
      </c>
      <c r="U40" s="14">
        <f>ROUND(T40,0)</f>
        <v>28</v>
      </c>
      <c r="V40" s="34">
        <v>0</v>
      </c>
      <c r="W40" s="31">
        <v>98.35</v>
      </c>
      <c r="X40" s="31">
        <v>1.65</v>
      </c>
      <c r="Y40" s="31">
        <v>1.03</v>
      </c>
      <c r="Z40" s="31">
        <v>0.6</v>
      </c>
      <c r="AA40" s="34">
        <v>1.65</v>
      </c>
      <c r="AB40" s="31">
        <v>1.23</v>
      </c>
      <c r="AC40" s="32">
        <v>1.6247</v>
      </c>
      <c r="AD40" s="33">
        <v>0.1343</v>
      </c>
      <c r="AE40" s="33">
        <v>0.14360000000000001</v>
      </c>
      <c r="AF40" s="33">
        <v>0.20369999999999999</v>
      </c>
      <c r="AG40" s="33">
        <v>0.21829999999999999</v>
      </c>
      <c r="AH40" s="33">
        <v>0.23380000000000001</v>
      </c>
      <c r="AI40" s="32">
        <v>1.6064000000000001</v>
      </c>
      <c r="AJ40" s="33">
        <v>0.1363</v>
      </c>
      <c r="AK40" s="33">
        <v>0.14560000000000001</v>
      </c>
      <c r="AL40" s="33">
        <v>0.219</v>
      </c>
      <c r="AM40" s="33">
        <v>0.2344</v>
      </c>
      <c r="AN40" s="33">
        <v>0.2046</v>
      </c>
    </row>
    <row r="41" spans="1:42">
      <c r="A41" s="29" t="s">
        <v>100</v>
      </c>
      <c r="B41" s="10">
        <v>2</v>
      </c>
      <c r="C41" s="29" t="s">
        <v>83</v>
      </c>
      <c r="D41" s="30">
        <v>598733.4</v>
      </c>
      <c r="E41" s="30">
        <v>5851814.5999999996</v>
      </c>
      <c r="F41" s="31">
        <v>23.7</v>
      </c>
      <c r="H41" s="29" t="s">
        <v>113</v>
      </c>
      <c r="I41" s="27" t="s">
        <v>60</v>
      </c>
      <c r="J41" s="31">
        <v>2.0499999999999998</v>
      </c>
      <c r="K41" s="31">
        <v>3</v>
      </c>
      <c r="L41" s="17">
        <f>F41+J41</f>
        <v>25.75</v>
      </c>
      <c r="M41" s="16">
        <f>F41+K41</f>
        <v>26.7</v>
      </c>
      <c r="N41" s="12">
        <f>(L41+M41)/2</f>
        <v>26.225000000000001</v>
      </c>
      <c r="O41" s="11">
        <f>ROUND(N41,0)</f>
        <v>26</v>
      </c>
      <c r="P41" s="13">
        <v>2</v>
      </c>
      <c r="Q41" s="13">
        <f>K41</f>
        <v>3</v>
      </c>
      <c r="R41" s="13">
        <f>P41+F41</f>
        <v>25.7</v>
      </c>
      <c r="S41" s="13">
        <f>F41+Q41</f>
        <v>26.7</v>
      </c>
      <c r="T41" s="13">
        <f>(R41+S41)/2</f>
        <v>26.2</v>
      </c>
      <c r="U41" s="14">
        <f>ROUND(T41,0)</f>
        <v>26</v>
      </c>
      <c r="V41" s="34">
        <v>7.0000000000000007E-2</v>
      </c>
      <c r="W41" s="31">
        <v>98.59</v>
      </c>
      <c r="X41" s="31">
        <v>1.34</v>
      </c>
      <c r="Y41" s="31">
        <v>0.86</v>
      </c>
      <c r="Z41" s="31">
        <v>0.69</v>
      </c>
      <c r="AA41" s="34">
        <v>1.34</v>
      </c>
      <c r="AB41" s="31">
        <v>1.1599999999999999</v>
      </c>
      <c r="AC41" s="32">
        <v>1.7761</v>
      </c>
      <c r="AD41" s="33">
        <v>0.18490000000000001</v>
      </c>
      <c r="AE41" s="33">
        <v>0.20749999999999999</v>
      </c>
      <c r="AF41" s="33">
        <v>0.30509999999999998</v>
      </c>
      <c r="AG41" s="33">
        <v>0.32850000000000001</v>
      </c>
      <c r="AH41" s="33">
        <v>0.35370000000000001</v>
      </c>
      <c r="AI41" s="32">
        <v>1.7395</v>
      </c>
      <c r="AJ41" s="33">
        <v>0.18940000000000001</v>
      </c>
      <c r="AK41" s="33">
        <v>0.2122</v>
      </c>
      <c r="AL41" s="33">
        <v>0.32950000000000002</v>
      </c>
      <c r="AM41" s="33">
        <v>0.35449999999999998</v>
      </c>
      <c r="AN41" s="33">
        <v>0.30630000000000002</v>
      </c>
    </row>
    <row r="42" spans="1:42">
      <c r="A42" s="29" t="s">
        <v>100</v>
      </c>
      <c r="B42" s="10">
        <v>2</v>
      </c>
      <c r="C42" s="29" t="s">
        <v>83</v>
      </c>
      <c r="D42" s="30">
        <v>598733.4</v>
      </c>
      <c r="E42" s="30">
        <v>5851814.5999999996</v>
      </c>
      <c r="F42" s="31">
        <v>23.7</v>
      </c>
      <c r="H42" s="29" t="s">
        <v>116</v>
      </c>
      <c r="I42" s="27" t="s">
        <v>63</v>
      </c>
      <c r="J42" s="31">
        <v>3.04</v>
      </c>
      <c r="K42" s="31">
        <v>4</v>
      </c>
      <c r="L42" s="17">
        <f>F42+J42</f>
        <v>26.74</v>
      </c>
      <c r="M42" s="16">
        <f>F42+K42</f>
        <v>27.7</v>
      </c>
      <c r="N42" s="12">
        <f>(L42+M42)/2</f>
        <v>27.22</v>
      </c>
      <c r="O42" s="11">
        <f>ROUND(N42,0)</f>
        <v>27</v>
      </c>
      <c r="P42" s="13">
        <v>3</v>
      </c>
      <c r="Q42" s="13">
        <f>K42</f>
        <v>4</v>
      </c>
      <c r="R42" s="13">
        <f>P42+F42</f>
        <v>26.7</v>
      </c>
      <c r="S42" s="13">
        <f>F42+Q42</f>
        <v>27.7</v>
      </c>
      <c r="T42" s="13">
        <f>(R42+S42)/2</f>
        <v>27.2</v>
      </c>
      <c r="U42" s="14">
        <f>ROUND(T42,0)</f>
        <v>27</v>
      </c>
      <c r="V42" s="34">
        <v>0</v>
      </c>
      <c r="W42" s="31">
        <v>98.63</v>
      </c>
      <c r="X42" s="31">
        <v>1.37</v>
      </c>
      <c r="Y42" s="31">
        <v>0.66</v>
      </c>
      <c r="Z42" s="31">
        <v>0.37</v>
      </c>
      <c r="AA42" s="34">
        <v>1.37</v>
      </c>
      <c r="AB42" s="31">
        <v>1.08</v>
      </c>
      <c r="AC42" s="32">
        <v>2.0030999999999999</v>
      </c>
      <c r="AD42" s="33">
        <v>0.1462</v>
      </c>
      <c r="AE42" s="33">
        <v>0.1668</v>
      </c>
      <c r="AF42" s="33">
        <v>0.27139999999999997</v>
      </c>
      <c r="AG42" s="33">
        <v>0.29289999999999999</v>
      </c>
      <c r="AH42" s="33">
        <v>0.316</v>
      </c>
      <c r="AI42" s="32">
        <v>1.9590000000000001</v>
      </c>
      <c r="AJ42" s="33">
        <v>0.15</v>
      </c>
      <c r="AK42" s="33">
        <v>0.17080000000000001</v>
      </c>
      <c r="AL42" s="33">
        <v>0.29380000000000001</v>
      </c>
      <c r="AM42" s="33">
        <v>0.31680000000000003</v>
      </c>
      <c r="AN42" s="33">
        <v>0.27250000000000002</v>
      </c>
    </row>
    <row r="43" spans="1:42">
      <c r="A43" s="29" t="s">
        <v>100</v>
      </c>
      <c r="B43" s="10">
        <v>2</v>
      </c>
      <c r="C43" s="29" t="s">
        <v>83</v>
      </c>
      <c r="D43" s="30">
        <v>598733.4</v>
      </c>
      <c r="E43" s="30">
        <v>5851814.5999999996</v>
      </c>
      <c r="F43" s="31">
        <v>23.7</v>
      </c>
      <c r="H43" s="29" t="s">
        <v>118</v>
      </c>
      <c r="I43" s="19" t="s">
        <v>62</v>
      </c>
      <c r="J43" s="31">
        <v>5.05</v>
      </c>
      <c r="K43" s="31">
        <v>5.6</v>
      </c>
      <c r="L43" s="17">
        <f>F43+J43</f>
        <v>28.75</v>
      </c>
      <c r="M43" s="16">
        <f>F43+K43</f>
        <v>29.299999999999997</v>
      </c>
      <c r="N43" s="12">
        <f>(L43+M43)/2</f>
        <v>29.024999999999999</v>
      </c>
      <c r="O43" s="11">
        <f>ROUND(N43,0)</f>
        <v>29</v>
      </c>
      <c r="P43" s="13">
        <v>5</v>
      </c>
      <c r="Q43" s="13">
        <f>K43</f>
        <v>5.6</v>
      </c>
      <c r="R43" s="13">
        <f>P43+F43</f>
        <v>28.7</v>
      </c>
      <c r="S43" s="13">
        <f>F43+Q43</f>
        <v>29.299999999999997</v>
      </c>
      <c r="T43" s="13">
        <f>(R43+S43)/2</f>
        <v>29</v>
      </c>
      <c r="U43" s="14">
        <f>ROUND(T43,0)</f>
        <v>29</v>
      </c>
      <c r="V43" s="34">
        <v>0</v>
      </c>
      <c r="W43" s="31">
        <v>98.29</v>
      </c>
      <c r="X43" s="31">
        <v>1.71</v>
      </c>
      <c r="Y43" s="31">
        <v>1.1399999999999999</v>
      </c>
      <c r="Z43" s="31">
        <v>0.55000000000000004</v>
      </c>
      <c r="AA43" s="34">
        <v>1.71</v>
      </c>
      <c r="AB43" s="31">
        <v>1.1200000000000001</v>
      </c>
      <c r="AC43" s="32">
        <v>1.6331</v>
      </c>
      <c r="AD43" s="33">
        <v>0.13769999999999999</v>
      </c>
      <c r="AE43" s="33">
        <v>0.1492</v>
      </c>
      <c r="AF43" s="33">
        <v>0.21029999999999999</v>
      </c>
      <c r="AG43" s="33">
        <v>0.22489999999999999</v>
      </c>
      <c r="AH43" s="33">
        <v>0.2404</v>
      </c>
      <c r="AI43" s="32">
        <v>1.6116999999999999</v>
      </c>
      <c r="AJ43" s="33">
        <v>0.1399</v>
      </c>
      <c r="AK43" s="33">
        <v>0.1515</v>
      </c>
      <c r="AL43" s="33">
        <v>0.22559999999999999</v>
      </c>
      <c r="AM43" s="33">
        <v>0.24099999999999999</v>
      </c>
      <c r="AN43" s="33">
        <v>0.21110000000000001</v>
      </c>
      <c r="AP43" s="22"/>
    </row>
    <row r="44" spans="1:42">
      <c r="A44" s="29" t="s">
        <v>101</v>
      </c>
      <c r="B44" s="10">
        <v>2</v>
      </c>
      <c r="C44" s="29" t="s">
        <v>84</v>
      </c>
      <c r="D44" s="30">
        <v>598952.69999999995</v>
      </c>
      <c r="E44" s="30">
        <v>5851811.2999999998</v>
      </c>
      <c r="F44" s="31">
        <v>23.9</v>
      </c>
      <c r="H44" s="29" t="s">
        <v>111</v>
      </c>
      <c r="I44" s="27" t="s">
        <v>65</v>
      </c>
      <c r="J44" s="31">
        <v>0.13</v>
      </c>
      <c r="K44" s="31">
        <v>0.51</v>
      </c>
      <c r="L44" s="17">
        <f>F44+J44</f>
        <v>24.029999999999998</v>
      </c>
      <c r="M44" s="16">
        <f>F44+K44</f>
        <v>24.41</v>
      </c>
      <c r="N44" s="12">
        <f>(L44+M44)/2</f>
        <v>24.22</v>
      </c>
      <c r="O44" s="11">
        <f>ROUND(N44,0)</f>
        <v>24</v>
      </c>
      <c r="P44" s="13">
        <v>0</v>
      </c>
      <c r="Q44" s="13">
        <f>K44</f>
        <v>0.51</v>
      </c>
      <c r="R44" s="13">
        <f>P44+F44</f>
        <v>23.9</v>
      </c>
      <c r="S44" s="13">
        <f>F44+Q44</f>
        <v>24.41</v>
      </c>
      <c r="T44" s="13">
        <f>(R44+S44)/2</f>
        <v>24.155000000000001</v>
      </c>
      <c r="U44" s="14">
        <f>ROUND(T44,0)</f>
        <v>24</v>
      </c>
      <c r="V44" s="34">
        <v>0.11</v>
      </c>
      <c r="W44" s="31">
        <v>96.97</v>
      </c>
      <c r="X44" s="31">
        <v>2.92</v>
      </c>
      <c r="Y44" s="31">
        <v>2.2599999999999998</v>
      </c>
      <c r="Z44" s="31">
        <v>1.98</v>
      </c>
      <c r="AA44" s="34">
        <v>2.92</v>
      </c>
      <c r="AB44" s="31">
        <v>2.65</v>
      </c>
      <c r="AC44" s="32">
        <v>1.6339999999999999</v>
      </c>
      <c r="AD44" s="33">
        <v>0.13439999999999999</v>
      </c>
      <c r="AE44" s="33">
        <v>0.14480000000000001</v>
      </c>
      <c r="AF44" s="33">
        <v>0.20569999999999999</v>
      </c>
      <c r="AG44" s="33">
        <v>0.21959999999999999</v>
      </c>
      <c r="AH44" s="33">
        <v>0.2344</v>
      </c>
      <c r="AI44" s="32">
        <v>1.5874999999999999</v>
      </c>
      <c r="AJ44" s="33">
        <v>0.13919999999999999</v>
      </c>
      <c r="AK44" s="33">
        <v>0.1497</v>
      </c>
      <c r="AL44" s="33">
        <v>0.221</v>
      </c>
      <c r="AM44" s="33">
        <v>0.23549999999999999</v>
      </c>
      <c r="AN44" s="33">
        <v>0.2074</v>
      </c>
      <c r="AP44" s="22"/>
    </row>
    <row r="45" spans="1:42">
      <c r="A45" s="29" t="s">
        <v>101</v>
      </c>
      <c r="B45" s="10">
        <v>2</v>
      </c>
      <c r="C45" s="29" t="s">
        <v>84</v>
      </c>
      <c r="D45" s="30">
        <v>598952.69999999995</v>
      </c>
      <c r="E45" s="30">
        <v>5851811.2999999998</v>
      </c>
      <c r="F45" s="31">
        <v>23.9</v>
      </c>
      <c r="H45" s="29" t="s">
        <v>111</v>
      </c>
      <c r="I45" s="27" t="s">
        <v>58</v>
      </c>
      <c r="J45" s="31">
        <v>0.51</v>
      </c>
      <c r="K45" s="31">
        <v>1</v>
      </c>
      <c r="L45" s="17">
        <f>F45+J45</f>
        <v>24.41</v>
      </c>
      <c r="M45" s="16">
        <f>F45+K45</f>
        <v>24.9</v>
      </c>
      <c r="N45" s="12">
        <f>(L45+M45)/2</f>
        <v>24.655000000000001</v>
      </c>
      <c r="O45" s="11">
        <f>ROUND(N45,0)</f>
        <v>25</v>
      </c>
      <c r="P45" s="13">
        <f>J45</f>
        <v>0.51</v>
      </c>
      <c r="Q45" s="13">
        <f>K45</f>
        <v>1</v>
      </c>
      <c r="R45" s="13">
        <f>P45+F45</f>
        <v>24.41</v>
      </c>
      <c r="S45" s="13">
        <f>F45+Q45</f>
        <v>24.9</v>
      </c>
      <c r="T45" s="13">
        <f>(R45+S45)/2</f>
        <v>24.655000000000001</v>
      </c>
      <c r="U45" s="14">
        <f>ROUND(T45,0)</f>
        <v>25</v>
      </c>
      <c r="V45" s="34">
        <v>7.0000000000000007E-2</v>
      </c>
      <c r="W45" s="31">
        <v>97.64</v>
      </c>
      <c r="X45" s="31">
        <v>2.29</v>
      </c>
      <c r="Y45" s="31">
        <v>1.86</v>
      </c>
      <c r="Z45" s="31">
        <v>1.33</v>
      </c>
      <c r="AA45" s="34">
        <v>2.29</v>
      </c>
      <c r="AB45" s="31">
        <v>1.76</v>
      </c>
      <c r="AC45" s="32">
        <v>1.6059000000000001</v>
      </c>
      <c r="AD45" s="33">
        <v>0.1361</v>
      </c>
      <c r="AE45" s="33">
        <v>0.14649999999999999</v>
      </c>
      <c r="AF45" s="33">
        <v>0.20530000000000001</v>
      </c>
      <c r="AG45" s="33">
        <v>0.21859999999999999</v>
      </c>
      <c r="AH45" s="33">
        <v>0.23280000000000001</v>
      </c>
      <c r="AI45" s="32">
        <v>1.5759000000000001</v>
      </c>
      <c r="AJ45" s="33">
        <v>0.13930000000000001</v>
      </c>
      <c r="AK45" s="33">
        <v>0.1497</v>
      </c>
      <c r="AL45" s="33">
        <v>0.2195</v>
      </c>
      <c r="AM45" s="33">
        <v>0.23350000000000001</v>
      </c>
      <c r="AN45" s="33">
        <v>0.2064</v>
      </c>
      <c r="AP45" s="22"/>
    </row>
    <row r="46" spans="1:42">
      <c r="A46" s="29" t="s">
        <v>101</v>
      </c>
      <c r="B46" s="10">
        <v>2</v>
      </c>
      <c r="C46" s="29" t="s">
        <v>84</v>
      </c>
      <c r="D46" s="30">
        <v>598952.69999999995</v>
      </c>
      <c r="E46" s="30">
        <v>5851811.2999999998</v>
      </c>
      <c r="F46" s="31">
        <v>23.9</v>
      </c>
      <c r="H46" s="29" t="s">
        <v>112</v>
      </c>
      <c r="I46" s="27" t="s">
        <v>59</v>
      </c>
      <c r="J46" s="31">
        <v>1.04</v>
      </c>
      <c r="K46" s="31">
        <v>1.45</v>
      </c>
      <c r="L46" s="17">
        <f>F46+J46</f>
        <v>24.939999999999998</v>
      </c>
      <c r="M46" s="16">
        <f>F46+K46</f>
        <v>25.349999999999998</v>
      </c>
      <c r="N46" s="12">
        <f>(L46+M46)/2</f>
        <v>25.144999999999996</v>
      </c>
      <c r="O46" s="11">
        <f>ROUND(N46,0)</f>
        <v>25</v>
      </c>
      <c r="P46" s="13">
        <v>1</v>
      </c>
      <c r="Q46" s="13">
        <v>2</v>
      </c>
      <c r="R46" s="13">
        <f>P46+F46</f>
        <v>24.9</v>
      </c>
      <c r="S46" s="13">
        <f>F46+Q46</f>
        <v>25.9</v>
      </c>
      <c r="T46" s="13">
        <f>(R46+S46)/2</f>
        <v>25.4</v>
      </c>
      <c r="U46" s="14">
        <f>ROUND(T46,0)</f>
        <v>25</v>
      </c>
      <c r="V46" s="34">
        <v>4.7</v>
      </c>
      <c r="W46" s="31">
        <v>93.64</v>
      </c>
      <c r="X46" s="31">
        <v>1.66</v>
      </c>
      <c r="Y46" s="31">
        <v>1.01</v>
      </c>
      <c r="Z46" s="31">
        <v>0.91</v>
      </c>
      <c r="AA46" s="34">
        <v>1.66</v>
      </c>
      <c r="AB46" s="31">
        <v>1.56</v>
      </c>
      <c r="AC46" s="32">
        <v>1.7497</v>
      </c>
      <c r="AD46" s="33">
        <v>0.14269999999999999</v>
      </c>
      <c r="AE46" s="33">
        <v>0.15809999999999999</v>
      </c>
      <c r="AF46" s="33">
        <v>0.22950000000000001</v>
      </c>
      <c r="AG46" s="33">
        <v>0.24979999999999999</v>
      </c>
      <c r="AH46" s="33">
        <v>0.3044</v>
      </c>
      <c r="AI46" s="32">
        <v>1.6851</v>
      </c>
      <c r="AJ46" s="33">
        <v>0.14549999999999999</v>
      </c>
      <c r="AK46" s="33">
        <v>0.16009999999999999</v>
      </c>
      <c r="AL46" s="33">
        <v>0.24510000000000001</v>
      </c>
      <c r="AM46" s="33">
        <v>0.2878</v>
      </c>
      <c r="AN46" s="33">
        <v>0.22639999999999999</v>
      </c>
      <c r="AP46" s="22"/>
    </row>
    <row r="47" spans="1:42">
      <c r="A47" s="29" t="s">
        <v>101</v>
      </c>
      <c r="B47" s="10">
        <v>2</v>
      </c>
      <c r="C47" s="29" t="s">
        <v>84</v>
      </c>
      <c r="D47" s="30">
        <v>598952.69999999995</v>
      </c>
      <c r="E47" s="30">
        <v>5851811.2999999998</v>
      </c>
      <c r="F47" s="31">
        <v>23.9</v>
      </c>
      <c r="H47" s="29" t="s">
        <v>113</v>
      </c>
      <c r="I47" s="27" t="s">
        <v>60</v>
      </c>
      <c r="J47" s="31">
        <v>2.04</v>
      </c>
      <c r="K47" s="31">
        <v>3</v>
      </c>
      <c r="L47" s="17">
        <f>F47+J47</f>
        <v>25.939999999999998</v>
      </c>
      <c r="M47" s="16">
        <f>F47+K47</f>
        <v>26.9</v>
      </c>
      <c r="N47" s="12">
        <f>(L47+M47)/2</f>
        <v>26.419999999999998</v>
      </c>
      <c r="O47" s="11">
        <f>ROUND(N47,0)</f>
        <v>26</v>
      </c>
      <c r="P47" s="13">
        <v>2</v>
      </c>
      <c r="Q47" s="13">
        <f>K47</f>
        <v>3</v>
      </c>
      <c r="R47" s="13">
        <f>P47+F47</f>
        <v>25.9</v>
      </c>
      <c r="S47" s="13">
        <f>F47+Q47</f>
        <v>26.9</v>
      </c>
      <c r="T47" s="13">
        <f>(R47+S47)/2</f>
        <v>26.4</v>
      </c>
      <c r="U47" s="14">
        <f>ROUND(T47,0)</f>
        <v>26</v>
      </c>
      <c r="V47" s="34">
        <v>0.94</v>
      </c>
      <c r="W47" s="31">
        <v>97.71</v>
      </c>
      <c r="X47" s="31">
        <v>1.35</v>
      </c>
      <c r="Y47" s="31">
        <v>0.94</v>
      </c>
      <c r="Z47" s="31">
        <v>0.71</v>
      </c>
      <c r="AA47" s="34">
        <v>1.35</v>
      </c>
      <c r="AB47" s="31">
        <v>1.1200000000000001</v>
      </c>
      <c r="AC47" s="32">
        <v>1.9391</v>
      </c>
      <c r="AD47" s="33">
        <v>0.16020000000000001</v>
      </c>
      <c r="AE47" s="33">
        <v>0.19109999999999999</v>
      </c>
      <c r="AF47" s="33">
        <v>0.29170000000000001</v>
      </c>
      <c r="AG47" s="33">
        <v>0.31069999999999998</v>
      </c>
      <c r="AH47" s="33">
        <v>0.33100000000000002</v>
      </c>
      <c r="AI47" s="32">
        <v>1.8613999999999999</v>
      </c>
      <c r="AJ47" s="33">
        <v>0.1668</v>
      </c>
      <c r="AK47" s="33">
        <v>0.1951</v>
      </c>
      <c r="AL47" s="33">
        <v>0.3105</v>
      </c>
      <c r="AM47" s="33">
        <v>0.33029999999999998</v>
      </c>
      <c r="AN47" s="33">
        <v>0.29189999999999999</v>
      </c>
      <c r="AP47" s="22"/>
    </row>
    <row r="48" spans="1:42">
      <c r="A48" s="29" t="s">
        <v>101</v>
      </c>
      <c r="B48" s="10">
        <v>2</v>
      </c>
      <c r="C48" s="29" t="s">
        <v>84</v>
      </c>
      <c r="D48" s="30">
        <v>598952.69999999995</v>
      </c>
      <c r="E48" s="30">
        <v>5851811.2999999998</v>
      </c>
      <c r="F48" s="31">
        <v>23.9</v>
      </c>
      <c r="H48" s="29" t="s">
        <v>116</v>
      </c>
      <c r="I48" s="27" t="s">
        <v>63</v>
      </c>
      <c r="J48" s="31">
        <v>3.05</v>
      </c>
      <c r="K48" s="31">
        <v>4</v>
      </c>
      <c r="L48" s="17">
        <f>F48+J48</f>
        <v>26.95</v>
      </c>
      <c r="M48" s="16">
        <f>F48+K48</f>
        <v>27.9</v>
      </c>
      <c r="N48" s="12">
        <f>(L48+M48)/2</f>
        <v>27.424999999999997</v>
      </c>
      <c r="O48" s="11">
        <f>ROUND(N48,0)</f>
        <v>27</v>
      </c>
      <c r="P48" s="13">
        <v>3</v>
      </c>
      <c r="Q48" s="13">
        <f>K48</f>
        <v>4</v>
      </c>
      <c r="R48" s="13">
        <f>P48+F48</f>
        <v>26.9</v>
      </c>
      <c r="S48" s="13">
        <f>F48+Q48</f>
        <v>27.9</v>
      </c>
      <c r="T48" s="13">
        <f>(R48+S48)/2</f>
        <v>27.4</v>
      </c>
      <c r="U48" s="14">
        <f>ROUND(T48,0)</f>
        <v>27</v>
      </c>
      <c r="V48" s="34">
        <v>0</v>
      </c>
      <c r="W48" s="31">
        <v>98.73</v>
      </c>
      <c r="X48" s="31">
        <v>1.27</v>
      </c>
      <c r="Y48" s="31">
        <v>0.9</v>
      </c>
      <c r="Z48" s="31">
        <v>0.65</v>
      </c>
      <c r="AA48" s="34">
        <v>1.27</v>
      </c>
      <c r="AB48" s="31">
        <v>1.02</v>
      </c>
      <c r="AC48" s="32">
        <v>1.5959000000000001</v>
      </c>
      <c r="AD48" s="33">
        <v>0.1978</v>
      </c>
      <c r="AE48" s="33">
        <v>0.2346</v>
      </c>
      <c r="AF48" s="33">
        <v>0.29899999999999999</v>
      </c>
      <c r="AG48" s="33">
        <v>0.31559999999999999</v>
      </c>
      <c r="AH48" s="33">
        <v>0.3332</v>
      </c>
      <c r="AI48" s="32">
        <v>1.5503</v>
      </c>
      <c r="AJ48" s="33">
        <v>0.2041</v>
      </c>
      <c r="AK48" s="33">
        <v>0.24160000000000001</v>
      </c>
      <c r="AL48" s="33">
        <v>0.31630000000000003</v>
      </c>
      <c r="AM48" s="33">
        <v>0.3337</v>
      </c>
      <c r="AN48" s="33">
        <v>0.2999</v>
      </c>
      <c r="AP48" s="22"/>
    </row>
    <row r="49" spans="1:42">
      <c r="A49" s="29" t="s">
        <v>101</v>
      </c>
      <c r="B49" s="10">
        <v>2</v>
      </c>
      <c r="C49" s="29" t="s">
        <v>84</v>
      </c>
      <c r="D49" s="30">
        <v>598952.69999999995</v>
      </c>
      <c r="E49" s="30">
        <v>5851811.2999999998</v>
      </c>
      <c r="F49" s="31">
        <v>23.9</v>
      </c>
      <c r="H49" s="29" t="s">
        <v>117</v>
      </c>
      <c r="I49" s="27" t="s">
        <v>61</v>
      </c>
      <c r="J49" s="31">
        <v>4</v>
      </c>
      <c r="K49" s="31">
        <v>5</v>
      </c>
      <c r="L49" s="17">
        <f>F49+J49</f>
        <v>27.9</v>
      </c>
      <c r="M49" s="16">
        <f>F49+K49</f>
        <v>28.9</v>
      </c>
      <c r="N49" s="12">
        <f>(L49+M49)/2</f>
        <v>28.4</v>
      </c>
      <c r="O49" s="11">
        <f>ROUND(N49,0)</f>
        <v>28</v>
      </c>
      <c r="P49" s="13">
        <f>J49</f>
        <v>4</v>
      </c>
      <c r="Q49" s="13">
        <f>K49</f>
        <v>5</v>
      </c>
      <c r="R49" s="13">
        <f>P49+F49</f>
        <v>27.9</v>
      </c>
      <c r="S49" s="13">
        <f>F49+Q49</f>
        <v>28.9</v>
      </c>
      <c r="T49" s="13">
        <f>(R49+S49)/2</f>
        <v>28.4</v>
      </c>
      <c r="U49" s="14">
        <f>ROUND(T49,0)</f>
        <v>28</v>
      </c>
      <c r="V49" s="34">
        <v>0.06</v>
      </c>
      <c r="W49" s="31">
        <v>98.65</v>
      </c>
      <c r="X49" s="31">
        <v>1.29</v>
      </c>
      <c r="Y49" s="31">
        <v>0.83</v>
      </c>
      <c r="Z49" s="31">
        <v>0.51</v>
      </c>
      <c r="AA49" s="34">
        <v>1.29</v>
      </c>
      <c r="AB49" s="31">
        <v>0.98</v>
      </c>
      <c r="AC49" s="32">
        <v>2.1194999999999999</v>
      </c>
      <c r="AD49" s="33">
        <v>0.15820000000000001</v>
      </c>
      <c r="AE49" s="33">
        <v>0.18820000000000001</v>
      </c>
      <c r="AF49" s="33">
        <v>0.30819999999999997</v>
      </c>
      <c r="AG49" s="33">
        <v>0.3352</v>
      </c>
      <c r="AH49" s="33">
        <v>0.37040000000000001</v>
      </c>
      <c r="AI49" s="32">
        <v>2.0566</v>
      </c>
      <c r="AJ49" s="33">
        <v>0.16350000000000001</v>
      </c>
      <c r="AK49" s="33">
        <v>0.19259999999999999</v>
      </c>
      <c r="AL49" s="33">
        <v>0.3362</v>
      </c>
      <c r="AM49" s="33">
        <v>0.37159999999999999</v>
      </c>
      <c r="AN49" s="33">
        <v>0.30940000000000001</v>
      </c>
      <c r="AP49" s="22"/>
    </row>
    <row r="50" spans="1:42">
      <c r="A50" s="29" t="s">
        <v>101</v>
      </c>
      <c r="B50" s="10">
        <v>2</v>
      </c>
      <c r="C50" s="29" t="s">
        <v>84</v>
      </c>
      <c r="D50" s="30">
        <v>598952.69999999995</v>
      </c>
      <c r="E50" s="30">
        <v>5851811.2999999998</v>
      </c>
      <c r="F50" s="31">
        <v>23.9</v>
      </c>
      <c r="G50" s="16"/>
      <c r="H50" s="29" t="s">
        <v>118</v>
      </c>
      <c r="I50" s="19" t="s">
        <v>62</v>
      </c>
      <c r="J50" s="31">
        <v>5.04</v>
      </c>
      <c r="K50" s="31">
        <v>6</v>
      </c>
      <c r="L50" s="17">
        <f>F50+J50</f>
        <v>28.939999999999998</v>
      </c>
      <c r="M50" s="16">
        <f>F50+K50</f>
        <v>29.9</v>
      </c>
      <c r="N50" s="12">
        <f>(L50+M50)/2</f>
        <v>29.419999999999998</v>
      </c>
      <c r="O50" s="11">
        <f>ROUND(N50,0)</f>
        <v>29</v>
      </c>
      <c r="P50" s="13">
        <f>J50</f>
        <v>5.04</v>
      </c>
      <c r="Q50" s="13">
        <f>K50</f>
        <v>6</v>
      </c>
      <c r="R50" s="13">
        <f>P50+F50</f>
        <v>28.939999999999998</v>
      </c>
      <c r="S50" s="13">
        <f>F50+Q50</f>
        <v>29.9</v>
      </c>
      <c r="T50" s="13">
        <f>(R50+S50)/2</f>
        <v>29.419999999999998</v>
      </c>
      <c r="U50" s="14">
        <f>ROUND(T50,0)</f>
        <v>29</v>
      </c>
      <c r="V50" s="34">
        <v>0</v>
      </c>
      <c r="W50" s="31">
        <v>98.94</v>
      </c>
      <c r="X50" s="31">
        <v>1.06</v>
      </c>
      <c r="Y50" s="31">
        <v>0.95</v>
      </c>
      <c r="Z50" s="31">
        <v>0.63</v>
      </c>
      <c r="AA50" s="34">
        <v>1.06</v>
      </c>
      <c r="AB50" s="31">
        <v>0.75</v>
      </c>
      <c r="AC50" s="32">
        <v>1.6168</v>
      </c>
      <c r="AD50" s="33">
        <v>0.12790000000000001</v>
      </c>
      <c r="AE50" s="33">
        <v>0.13389999999999999</v>
      </c>
      <c r="AF50" s="33">
        <v>0.18579999999999999</v>
      </c>
      <c r="AG50" s="33">
        <v>0.20669999999999999</v>
      </c>
      <c r="AH50" s="33">
        <v>0.23</v>
      </c>
      <c r="AI50" s="32">
        <v>1.6120000000000001</v>
      </c>
      <c r="AJ50" s="33">
        <v>0.12859999999999999</v>
      </c>
      <c r="AK50" s="33">
        <v>0.13469999999999999</v>
      </c>
      <c r="AL50" s="33">
        <v>0.2074</v>
      </c>
      <c r="AM50" s="33">
        <v>0.2306</v>
      </c>
      <c r="AN50" s="33">
        <v>0.1865</v>
      </c>
      <c r="AP50" s="22"/>
    </row>
    <row r="51" spans="1:42">
      <c r="A51" s="29" t="s">
        <v>102</v>
      </c>
      <c r="B51" s="10">
        <v>2</v>
      </c>
      <c r="C51" s="29" t="s">
        <v>85</v>
      </c>
      <c r="D51" s="30">
        <v>598373.4</v>
      </c>
      <c r="E51" s="30">
        <v>5853567</v>
      </c>
      <c r="F51" s="31">
        <v>26.4</v>
      </c>
      <c r="G51" s="16"/>
      <c r="H51" s="29" t="s">
        <v>111</v>
      </c>
      <c r="I51" s="27" t="s">
        <v>65</v>
      </c>
      <c r="J51" s="31">
        <v>0.08</v>
      </c>
      <c r="K51" s="31">
        <v>0.41</v>
      </c>
      <c r="L51" s="17">
        <f>F51+J51</f>
        <v>26.479999999999997</v>
      </c>
      <c r="M51" s="16">
        <f>F51+K51</f>
        <v>26.81</v>
      </c>
      <c r="N51" s="12">
        <f>(L51+M51)/2</f>
        <v>26.644999999999996</v>
      </c>
      <c r="O51" s="11">
        <f>ROUND(N51,0)</f>
        <v>27</v>
      </c>
      <c r="P51" s="13">
        <v>0</v>
      </c>
      <c r="Q51" s="13">
        <f>K51</f>
        <v>0.41</v>
      </c>
      <c r="R51" s="13">
        <f>P51+F51</f>
        <v>26.4</v>
      </c>
      <c r="S51" s="13">
        <f>F51+Q51</f>
        <v>26.81</v>
      </c>
      <c r="T51" s="13">
        <f>(R51+S51)/2</f>
        <v>26.604999999999997</v>
      </c>
      <c r="U51" s="14">
        <f>ROUND(T51,0)</f>
        <v>27</v>
      </c>
      <c r="V51" s="34">
        <v>0.02</v>
      </c>
      <c r="W51" s="31">
        <v>98.95</v>
      </c>
      <c r="X51" s="31">
        <v>1.03</v>
      </c>
      <c r="Y51" s="31">
        <v>0.73</v>
      </c>
      <c r="Z51" s="31">
        <v>0.57999999999999996</v>
      </c>
      <c r="AA51" s="34">
        <v>1.03</v>
      </c>
      <c r="AB51" s="31">
        <v>0.88</v>
      </c>
      <c r="AC51" s="32">
        <v>1.6393</v>
      </c>
      <c r="AD51" s="33">
        <v>0.13980000000000001</v>
      </c>
      <c r="AE51" s="33">
        <v>0.1535</v>
      </c>
      <c r="AF51" s="33">
        <v>0.2145</v>
      </c>
      <c r="AG51" s="33">
        <v>0.22919999999999999</v>
      </c>
      <c r="AH51" s="33">
        <v>0.24490000000000001</v>
      </c>
      <c r="AI51" s="32">
        <v>1.6189</v>
      </c>
      <c r="AJ51" s="33">
        <v>0.1419</v>
      </c>
      <c r="AK51" s="33">
        <v>0.15570000000000001</v>
      </c>
      <c r="AL51" s="33">
        <v>0.22969999999999999</v>
      </c>
      <c r="AM51" s="33">
        <v>0.24529999999999999</v>
      </c>
      <c r="AN51" s="33">
        <v>0.21510000000000001</v>
      </c>
      <c r="AP51" s="22"/>
    </row>
    <row r="52" spans="1:42">
      <c r="A52" s="29" t="s">
        <v>102</v>
      </c>
      <c r="B52" s="10">
        <v>2</v>
      </c>
      <c r="C52" s="29" t="s">
        <v>85</v>
      </c>
      <c r="D52" s="30">
        <v>598373.4</v>
      </c>
      <c r="E52" s="30">
        <v>5853567</v>
      </c>
      <c r="F52" s="31">
        <v>26.4</v>
      </c>
      <c r="H52" s="29" t="s">
        <v>111</v>
      </c>
      <c r="I52" s="27" t="s">
        <v>58</v>
      </c>
      <c r="J52" s="31">
        <v>0.41</v>
      </c>
      <c r="K52" s="31">
        <v>1</v>
      </c>
      <c r="L52" s="17">
        <f>F52+J52</f>
        <v>26.81</v>
      </c>
      <c r="M52" s="16">
        <f>F52+K52</f>
        <v>27.4</v>
      </c>
      <c r="N52" s="12">
        <f>(L52+M52)/2</f>
        <v>27.104999999999997</v>
      </c>
      <c r="O52" s="11">
        <f>ROUND(N52,0)</f>
        <v>27</v>
      </c>
      <c r="P52" s="13">
        <f>J52</f>
        <v>0.41</v>
      </c>
      <c r="Q52" s="13">
        <f>K52</f>
        <v>1</v>
      </c>
      <c r="R52" s="13">
        <f>P52+F52</f>
        <v>26.81</v>
      </c>
      <c r="S52" s="13">
        <f>F52+Q52</f>
        <v>27.4</v>
      </c>
      <c r="T52" s="13">
        <f>(R52+S52)/2</f>
        <v>27.104999999999997</v>
      </c>
      <c r="U52" s="14">
        <f>ROUND(T52,0)</f>
        <v>27</v>
      </c>
      <c r="V52" s="34">
        <v>0</v>
      </c>
      <c r="W52" s="31">
        <v>98.75</v>
      </c>
      <c r="X52" s="31">
        <v>1.25</v>
      </c>
      <c r="Y52" s="31">
        <v>1.01</v>
      </c>
      <c r="Z52" s="31">
        <v>0.6</v>
      </c>
      <c r="AA52" s="34">
        <v>1.25</v>
      </c>
      <c r="AB52" s="31">
        <v>0.84</v>
      </c>
      <c r="AC52" s="32">
        <v>1.593</v>
      </c>
      <c r="AD52" s="33">
        <v>0.1525</v>
      </c>
      <c r="AE52" s="33">
        <v>0.17610000000000001</v>
      </c>
      <c r="AF52" s="33">
        <v>0.22700000000000001</v>
      </c>
      <c r="AG52" s="33">
        <v>0.2429</v>
      </c>
      <c r="AH52" s="33">
        <v>0.26900000000000002</v>
      </c>
      <c r="AI52" s="32">
        <v>1.5621</v>
      </c>
      <c r="AJ52" s="33">
        <v>0.15579999999999999</v>
      </c>
      <c r="AK52" s="33">
        <v>0.17979999999999999</v>
      </c>
      <c r="AL52" s="33">
        <v>0.24340000000000001</v>
      </c>
      <c r="AM52" s="33">
        <v>0.26989999999999997</v>
      </c>
      <c r="AN52" s="33">
        <v>0.2276</v>
      </c>
      <c r="AP52" s="22"/>
    </row>
    <row r="53" spans="1:42">
      <c r="A53" s="29" t="s">
        <v>102</v>
      </c>
      <c r="B53" s="10">
        <v>2</v>
      </c>
      <c r="C53" s="29" t="s">
        <v>85</v>
      </c>
      <c r="D53" s="30">
        <v>598373.4</v>
      </c>
      <c r="E53" s="30">
        <v>5853567</v>
      </c>
      <c r="F53" s="31">
        <v>26.4</v>
      </c>
      <c r="H53" s="29" t="s">
        <v>112</v>
      </c>
      <c r="I53" s="27" t="s">
        <v>59</v>
      </c>
      <c r="J53" s="31">
        <v>1.04</v>
      </c>
      <c r="K53" s="31">
        <v>2</v>
      </c>
      <c r="L53" s="17">
        <f>F53+J53</f>
        <v>27.439999999999998</v>
      </c>
      <c r="M53" s="16">
        <f>F53+K53</f>
        <v>28.4</v>
      </c>
      <c r="N53" s="12">
        <f>(L53+M53)/2</f>
        <v>27.919999999999998</v>
      </c>
      <c r="O53" s="11">
        <f>ROUND(N53,0)</f>
        <v>28</v>
      </c>
      <c r="P53" s="13">
        <v>1</v>
      </c>
      <c r="Q53" s="13">
        <f>K53</f>
        <v>2</v>
      </c>
      <c r="R53" s="13">
        <f>P53+F53</f>
        <v>27.4</v>
      </c>
      <c r="S53" s="13">
        <f>F53+Q53</f>
        <v>28.4</v>
      </c>
      <c r="T53" s="13">
        <f>(R53+S53)/2</f>
        <v>27.9</v>
      </c>
      <c r="U53" s="14">
        <f>ROUND(T53,0)</f>
        <v>28</v>
      </c>
      <c r="V53" s="34">
        <v>0</v>
      </c>
      <c r="W53" s="31">
        <v>98.86</v>
      </c>
      <c r="X53" s="31">
        <v>1.1399999999999999</v>
      </c>
      <c r="Y53" s="31">
        <v>0.86</v>
      </c>
      <c r="Z53" s="31">
        <v>0.6</v>
      </c>
      <c r="AA53" s="34">
        <v>1.1399999999999999</v>
      </c>
      <c r="AB53" s="31">
        <v>0.87</v>
      </c>
      <c r="AC53" s="32">
        <v>1.6785000000000001</v>
      </c>
      <c r="AD53" s="33">
        <v>0.14230000000000001</v>
      </c>
      <c r="AE53" s="33">
        <v>0.1573</v>
      </c>
      <c r="AF53" s="33">
        <v>0.22189999999999999</v>
      </c>
      <c r="AG53" s="33">
        <v>0.2389</v>
      </c>
      <c r="AH53" s="33">
        <v>0.26300000000000001</v>
      </c>
      <c r="AI53" s="32">
        <v>1.6566000000000001</v>
      </c>
      <c r="AJ53" s="33">
        <v>0.14460000000000001</v>
      </c>
      <c r="AK53" s="33">
        <v>0.15970000000000001</v>
      </c>
      <c r="AL53" s="33">
        <v>0.23949999999999999</v>
      </c>
      <c r="AM53" s="33">
        <v>0.26390000000000002</v>
      </c>
      <c r="AN53" s="33">
        <v>0.22259999999999999</v>
      </c>
      <c r="AP53" s="22"/>
    </row>
    <row r="54" spans="1:42">
      <c r="A54" s="29" t="s">
        <v>102</v>
      </c>
      <c r="B54" s="10">
        <v>2</v>
      </c>
      <c r="C54" s="29" t="s">
        <v>85</v>
      </c>
      <c r="D54" s="30">
        <v>598373.4</v>
      </c>
      <c r="E54" s="30">
        <v>5853567</v>
      </c>
      <c r="F54" s="31">
        <v>26.4</v>
      </c>
      <c r="G54" s="16"/>
      <c r="H54" s="29" t="s">
        <v>113</v>
      </c>
      <c r="I54" s="27" t="s">
        <v>60</v>
      </c>
      <c r="J54" s="31">
        <v>2.0499999999999998</v>
      </c>
      <c r="K54" s="31">
        <v>3</v>
      </c>
      <c r="L54" s="17">
        <f>F54+J54</f>
        <v>28.45</v>
      </c>
      <c r="M54" s="16">
        <f>F54+K54</f>
        <v>29.4</v>
      </c>
      <c r="N54" s="12">
        <f>(L54+M54)/2</f>
        <v>28.924999999999997</v>
      </c>
      <c r="O54" s="11">
        <f>ROUND(N54,0)</f>
        <v>29</v>
      </c>
      <c r="P54" s="13">
        <v>2</v>
      </c>
      <c r="Q54" s="13">
        <f>K54</f>
        <v>3</v>
      </c>
      <c r="R54" s="13">
        <f>P54+F54</f>
        <v>28.4</v>
      </c>
      <c r="S54" s="13">
        <f>F54+Q54</f>
        <v>29.4</v>
      </c>
      <c r="T54" s="13">
        <f>(R54+S54)/2</f>
        <v>28.9</v>
      </c>
      <c r="U54" s="14">
        <f>ROUND(T54,0)</f>
        <v>29</v>
      </c>
      <c r="V54" s="34">
        <v>0</v>
      </c>
      <c r="W54" s="31">
        <v>99.06</v>
      </c>
      <c r="X54" s="31">
        <v>0.94</v>
      </c>
      <c r="Y54" s="31">
        <v>0.82</v>
      </c>
      <c r="Z54" s="31">
        <v>0.55000000000000004</v>
      </c>
      <c r="AA54" s="34">
        <v>0.94</v>
      </c>
      <c r="AB54" s="31">
        <v>0.67</v>
      </c>
      <c r="AC54" s="32">
        <v>1.7017</v>
      </c>
      <c r="AD54" s="33">
        <v>0.1414</v>
      </c>
      <c r="AE54" s="33">
        <v>0.15540000000000001</v>
      </c>
      <c r="AF54" s="33">
        <v>0.22259999999999999</v>
      </c>
      <c r="AG54" s="33">
        <v>0.24060000000000001</v>
      </c>
      <c r="AH54" s="33">
        <v>0.26519999999999999</v>
      </c>
      <c r="AI54" s="32">
        <v>1.6859</v>
      </c>
      <c r="AJ54" s="33">
        <v>0.14299999999999999</v>
      </c>
      <c r="AK54" s="33">
        <v>0.15709999999999999</v>
      </c>
      <c r="AL54" s="33">
        <v>0.24110000000000001</v>
      </c>
      <c r="AM54" s="33">
        <v>0.26579999999999998</v>
      </c>
      <c r="AN54" s="33">
        <v>0.22320000000000001</v>
      </c>
      <c r="AP54" s="22"/>
    </row>
    <row r="55" spans="1:42">
      <c r="A55" s="29" t="s">
        <v>102</v>
      </c>
      <c r="B55" s="10">
        <v>2</v>
      </c>
      <c r="C55" s="29" t="s">
        <v>85</v>
      </c>
      <c r="D55" s="30">
        <v>598373.4</v>
      </c>
      <c r="E55" s="30">
        <v>5853567</v>
      </c>
      <c r="F55" s="31">
        <v>26.4</v>
      </c>
      <c r="H55" s="29" t="s">
        <v>116</v>
      </c>
      <c r="I55" s="27" t="s">
        <v>63</v>
      </c>
      <c r="J55" s="31">
        <v>3.03</v>
      </c>
      <c r="K55" s="31">
        <v>3.75</v>
      </c>
      <c r="L55" s="17">
        <f>F55+J55</f>
        <v>29.43</v>
      </c>
      <c r="M55" s="16">
        <f>F55+K55</f>
        <v>30.15</v>
      </c>
      <c r="N55" s="12">
        <f>(L55+M55)/2</f>
        <v>29.79</v>
      </c>
      <c r="O55" s="11">
        <f>ROUND(N55,0)</f>
        <v>30</v>
      </c>
      <c r="P55" s="13">
        <v>3</v>
      </c>
      <c r="Q55" s="13">
        <f>K55</f>
        <v>3.75</v>
      </c>
      <c r="R55" s="13">
        <f>P55+F55</f>
        <v>29.4</v>
      </c>
      <c r="S55" s="13">
        <f>F55+Q55</f>
        <v>30.15</v>
      </c>
      <c r="T55" s="13">
        <f>(R55+S55)/2</f>
        <v>29.774999999999999</v>
      </c>
      <c r="U55" s="14">
        <f>ROUND(T55,0)</f>
        <v>30</v>
      </c>
      <c r="V55" s="34">
        <v>0.66</v>
      </c>
      <c r="W55" s="31">
        <v>98.48</v>
      </c>
      <c r="X55" s="31">
        <v>0.86</v>
      </c>
      <c r="Y55" s="31">
        <v>0.51</v>
      </c>
      <c r="Z55" s="31">
        <v>0.32</v>
      </c>
      <c r="AA55" s="34">
        <v>0.86</v>
      </c>
      <c r="AB55" s="31">
        <v>0.67</v>
      </c>
      <c r="AC55" s="32">
        <v>1.804</v>
      </c>
      <c r="AD55" s="33">
        <v>0.18110000000000001</v>
      </c>
      <c r="AE55" s="33">
        <v>0.19450000000000001</v>
      </c>
      <c r="AF55" s="33">
        <v>0.2964</v>
      </c>
      <c r="AG55" s="33">
        <v>0.32669999999999999</v>
      </c>
      <c r="AH55" s="33">
        <v>0.36470000000000002</v>
      </c>
      <c r="AI55" s="32">
        <v>1.788</v>
      </c>
      <c r="AJ55" s="33">
        <v>0.1825</v>
      </c>
      <c r="AK55" s="33">
        <v>0.19589999999999999</v>
      </c>
      <c r="AL55" s="33">
        <v>0.32629999999999998</v>
      </c>
      <c r="AM55" s="33">
        <v>0.36299999999999999</v>
      </c>
      <c r="AN55" s="33">
        <v>0.2964</v>
      </c>
      <c r="AP55" s="22"/>
    </row>
    <row r="56" spans="1:42">
      <c r="A56" s="29" t="s">
        <v>102</v>
      </c>
      <c r="B56" s="10">
        <v>2</v>
      </c>
      <c r="C56" s="29" t="s">
        <v>85</v>
      </c>
      <c r="D56" s="30">
        <v>598373.4</v>
      </c>
      <c r="E56" s="30">
        <v>5853567</v>
      </c>
      <c r="F56" s="31">
        <v>26.4</v>
      </c>
      <c r="H56" s="29" t="s">
        <v>115</v>
      </c>
      <c r="I56" s="27" t="s">
        <v>61</v>
      </c>
      <c r="J56" s="31">
        <v>5</v>
      </c>
      <c r="K56" s="31">
        <v>5.3</v>
      </c>
      <c r="L56" s="17">
        <f>F56+J56</f>
        <v>31.4</v>
      </c>
      <c r="M56" s="16">
        <f>F56+K56</f>
        <v>31.7</v>
      </c>
      <c r="N56" s="12">
        <f>(L56+M56)/2</f>
        <v>31.549999999999997</v>
      </c>
      <c r="O56" s="11">
        <f>ROUND(N56,0)</f>
        <v>32</v>
      </c>
      <c r="P56" s="13">
        <v>3.75</v>
      </c>
      <c r="Q56" s="13">
        <f>K56</f>
        <v>5.3</v>
      </c>
      <c r="R56" s="13">
        <f>P56+F56</f>
        <v>30.15</v>
      </c>
      <c r="S56" s="13">
        <f>F56+Q56</f>
        <v>31.7</v>
      </c>
      <c r="T56" s="13">
        <f>(R56+S56)/2</f>
        <v>30.924999999999997</v>
      </c>
      <c r="U56" s="14">
        <f>ROUND(T56,0)</f>
        <v>31</v>
      </c>
      <c r="V56" s="34">
        <v>0</v>
      </c>
      <c r="W56" s="31">
        <v>98.5</v>
      </c>
      <c r="X56" s="31">
        <v>1.5</v>
      </c>
      <c r="Y56" s="31">
        <v>1.32</v>
      </c>
      <c r="Z56" s="31">
        <v>0.76</v>
      </c>
      <c r="AA56" s="34">
        <v>1.5</v>
      </c>
      <c r="AB56" s="31">
        <v>0.93</v>
      </c>
      <c r="AC56" s="32">
        <v>1.9198</v>
      </c>
      <c r="AD56" s="33">
        <v>0.16309999999999999</v>
      </c>
      <c r="AE56" s="33">
        <v>0.1943</v>
      </c>
      <c r="AF56" s="33">
        <v>0.29360000000000003</v>
      </c>
      <c r="AG56" s="33">
        <v>0.31309999999999999</v>
      </c>
      <c r="AH56" s="33">
        <v>0.33400000000000002</v>
      </c>
      <c r="AI56" s="32">
        <v>1.8441000000000001</v>
      </c>
      <c r="AJ56" s="33">
        <v>0.17019999999999999</v>
      </c>
      <c r="AK56" s="33">
        <v>0.19819999999999999</v>
      </c>
      <c r="AL56" s="33">
        <v>0.31390000000000001</v>
      </c>
      <c r="AM56" s="33">
        <v>0.33460000000000001</v>
      </c>
      <c r="AN56" s="33">
        <v>0.29449999999999998</v>
      </c>
      <c r="AP56" s="22"/>
    </row>
    <row r="57" spans="1:42">
      <c r="A57" s="29" t="s">
        <v>103</v>
      </c>
      <c r="B57" s="10">
        <v>2</v>
      </c>
      <c r="C57" s="29" t="s">
        <v>86</v>
      </c>
      <c r="D57" s="30">
        <v>598807.5</v>
      </c>
      <c r="E57" s="30">
        <v>5853712.7000000002</v>
      </c>
      <c r="F57" s="31">
        <v>24.4</v>
      </c>
      <c r="H57" s="29" t="s">
        <v>111</v>
      </c>
      <c r="I57" s="27" t="s">
        <v>58</v>
      </c>
      <c r="J57" s="31">
        <v>0.2</v>
      </c>
      <c r="K57" s="31">
        <v>0.92</v>
      </c>
      <c r="L57" s="17">
        <f>F57+J57</f>
        <v>24.599999999999998</v>
      </c>
      <c r="M57" s="16">
        <f>F57+K57</f>
        <v>25.32</v>
      </c>
      <c r="N57" s="12">
        <f>(L57+M57)/2</f>
        <v>24.96</v>
      </c>
      <c r="O57" s="11">
        <f>ROUND(N57,0)</f>
        <v>25</v>
      </c>
      <c r="P57" s="13">
        <v>0</v>
      </c>
      <c r="Q57" s="13">
        <f>K57</f>
        <v>0.92</v>
      </c>
      <c r="R57" s="13">
        <f>P57+F57</f>
        <v>24.4</v>
      </c>
      <c r="S57" s="13">
        <f>F57+Q57</f>
        <v>25.32</v>
      </c>
      <c r="T57" s="13">
        <f>(R57+S57)/2</f>
        <v>24.86</v>
      </c>
      <c r="U57" s="14">
        <f>ROUND(T57,0)</f>
        <v>25</v>
      </c>
      <c r="V57" s="34">
        <v>0.61</v>
      </c>
      <c r="W57" s="31">
        <v>98.01</v>
      </c>
      <c r="X57" s="31">
        <v>1.38</v>
      </c>
      <c r="Y57" s="31">
        <v>0.95</v>
      </c>
      <c r="Z57" s="31">
        <v>0.7</v>
      </c>
      <c r="AA57" s="34">
        <v>1.38</v>
      </c>
      <c r="AB57" s="31">
        <v>1.1299999999999999</v>
      </c>
      <c r="AC57" s="32">
        <v>1.9298999999999999</v>
      </c>
      <c r="AD57" s="33">
        <v>0.14000000000000001</v>
      </c>
      <c r="AE57" s="33">
        <v>0.15509999999999999</v>
      </c>
      <c r="AF57" s="33">
        <v>0.2374</v>
      </c>
      <c r="AG57" s="33">
        <v>0.2702</v>
      </c>
      <c r="AH57" s="33">
        <v>0.31719999999999998</v>
      </c>
      <c r="AI57" s="32">
        <v>1.8951</v>
      </c>
      <c r="AJ57" s="33">
        <v>0.14280000000000001</v>
      </c>
      <c r="AK57" s="33">
        <v>0.15790000000000001</v>
      </c>
      <c r="AL57" s="33">
        <v>0.27050000000000002</v>
      </c>
      <c r="AM57" s="33">
        <v>0.31680000000000003</v>
      </c>
      <c r="AN57" s="33">
        <v>0.23810000000000001</v>
      </c>
      <c r="AP57" s="22"/>
    </row>
    <row r="58" spans="1:42">
      <c r="A58" s="29" t="s">
        <v>103</v>
      </c>
      <c r="B58" s="10">
        <v>2</v>
      </c>
      <c r="C58" s="29" t="s">
        <v>86</v>
      </c>
      <c r="D58" s="30">
        <v>598807.5</v>
      </c>
      <c r="E58" s="30">
        <v>5853712.7000000002</v>
      </c>
      <c r="F58" s="31">
        <v>24.4</v>
      </c>
      <c r="H58" s="29" t="s">
        <v>111</v>
      </c>
      <c r="I58" s="27" t="s">
        <v>58</v>
      </c>
      <c r="J58" s="31">
        <v>0.92</v>
      </c>
      <c r="K58" s="31">
        <v>1</v>
      </c>
      <c r="L58" s="17">
        <f>F58+J58</f>
        <v>25.32</v>
      </c>
      <c r="M58" s="16">
        <f>F58+K58</f>
        <v>25.4</v>
      </c>
      <c r="N58" s="12">
        <f>(L58+M58)/2</f>
        <v>25.36</v>
      </c>
      <c r="O58" s="11">
        <f>ROUND(N58,0)</f>
        <v>25</v>
      </c>
      <c r="P58" s="13">
        <f>J58</f>
        <v>0.92</v>
      </c>
      <c r="Q58" s="13">
        <f>K58</f>
        <v>1</v>
      </c>
      <c r="R58" s="13">
        <f>P58+F58</f>
        <v>25.32</v>
      </c>
      <c r="S58" s="13">
        <f>F58+Q58</f>
        <v>25.4</v>
      </c>
      <c r="T58" s="13">
        <f>(R58+S58)/2</f>
        <v>25.36</v>
      </c>
      <c r="U58" s="14">
        <f>ROUND(T58,0)</f>
        <v>25</v>
      </c>
      <c r="V58" s="34">
        <v>0.54</v>
      </c>
      <c r="W58" s="31">
        <v>96.49</v>
      </c>
      <c r="X58" s="31">
        <v>2.97</v>
      </c>
      <c r="Y58" s="31">
        <v>2.46</v>
      </c>
      <c r="Z58" s="31">
        <v>1.84</v>
      </c>
      <c r="AA58" s="34">
        <v>2.97</v>
      </c>
      <c r="AB58" s="31">
        <v>2.35</v>
      </c>
      <c r="AC58" s="32">
        <v>1.8677999999999999</v>
      </c>
      <c r="AD58" s="33">
        <v>0.11020000000000001</v>
      </c>
      <c r="AE58" s="33">
        <v>0.12790000000000001</v>
      </c>
      <c r="AF58" s="33">
        <v>0.1825</v>
      </c>
      <c r="AG58" s="33">
        <v>0.2059</v>
      </c>
      <c r="AH58" s="33">
        <v>0.23230000000000001</v>
      </c>
      <c r="AI58" s="32">
        <v>1.7117</v>
      </c>
      <c r="AJ58" s="33">
        <v>0.1212</v>
      </c>
      <c r="AK58" s="33">
        <v>0.13039999999999999</v>
      </c>
      <c r="AL58" s="33">
        <v>0.2074</v>
      </c>
      <c r="AM58" s="33">
        <v>0.23319999999999999</v>
      </c>
      <c r="AN58" s="33">
        <v>0.1845</v>
      </c>
      <c r="AP58" s="22"/>
    </row>
    <row r="59" spans="1:42">
      <c r="A59" s="29" t="s">
        <v>103</v>
      </c>
      <c r="B59" s="10">
        <v>2</v>
      </c>
      <c r="C59" s="29" t="s">
        <v>86</v>
      </c>
      <c r="D59" s="30">
        <v>598807.5</v>
      </c>
      <c r="E59" s="30">
        <v>5853712.7000000002</v>
      </c>
      <c r="F59" s="31">
        <v>24.4</v>
      </c>
      <c r="H59" s="29" t="s">
        <v>112</v>
      </c>
      <c r="I59" s="27" t="s">
        <v>59</v>
      </c>
      <c r="J59" s="31">
        <v>1.1200000000000001</v>
      </c>
      <c r="K59" s="31">
        <v>2</v>
      </c>
      <c r="L59" s="17">
        <f>F59+J59</f>
        <v>25.52</v>
      </c>
      <c r="M59" s="16">
        <f>F59+K59</f>
        <v>26.4</v>
      </c>
      <c r="N59" s="12">
        <f>(L59+M59)/2</f>
        <v>25.96</v>
      </c>
      <c r="O59" s="11">
        <f>ROUND(N59,0)</f>
        <v>26</v>
      </c>
      <c r="P59" s="13">
        <v>1</v>
      </c>
      <c r="Q59" s="13">
        <f>K59</f>
        <v>2</v>
      </c>
      <c r="R59" s="13">
        <f>P59+F59</f>
        <v>25.4</v>
      </c>
      <c r="S59" s="13">
        <f>F59+Q59</f>
        <v>26.4</v>
      </c>
      <c r="T59" s="13">
        <f>(R59+S59)/2</f>
        <v>25.9</v>
      </c>
      <c r="U59" s="14">
        <f>ROUND(T59,0)</f>
        <v>26</v>
      </c>
      <c r="V59" s="34">
        <v>0.04</v>
      </c>
      <c r="W59" s="31">
        <v>96.68</v>
      </c>
      <c r="X59" s="31">
        <v>3.28</v>
      </c>
      <c r="Y59" s="31">
        <v>2.58</v>
      </c>
      <c r="Z59" s="31">
        <v>2.0299999999999998</v>
      </c>
      <c r="AA59" s="34">
        <v>3.28</v>
      </c>
      <c r="AB59" s="31">
        <v>2.73</v>
      </c>
      <c r="AC59" s="32">
        <v>1.6314</v>
      </c>
      <c r="AD59" s="33">
        <v>9.5100000000000004E-2</v>
      </c>
      <c r="AE59" s="33">
        <v>0.10680000000000001</v>
      </c>
      <c r="AF59" s="33">
        <v>0.14660000000000001</v>
      </c>
      <c r="AG59" s="33">
        <v>0.1552</v>
      </c>
      <c r="AH59" s="33">
        <v>0.16420000000000001</v>
      </c>
      <c r="AI59" s="32">
        <v>1.5508</v>
      </c>
      <c r="AJ59" s="33">
        <v>0.1007</v>
      </c>
      <c r="AK59" s="33">
        <v>0.11260000000000001</v>
      </c>
      <c r="AL59" s="33">
        <v>0.15609999999999999</v>
      </c>
      <c r="AM59" s="33">
        <v>0.16489999999999999</v>
      </c>
      <c r="AN59" s="33">
        <v>0.1477</v>
      </c>
      <c r="AO59" s="2"/>
      <c r="AP59" s="22"/>
    </row>
    <row r="60" spans="1:42">
      <c r="A60" s="29" t="s">
        <v>103</v>
      </c>
      <c r="B60" s="10">
        <v>2</v>
      </c>
      <c r="C60" s="29" t="s">
        <v>86</v>
      </c>
      <c r="D60" s="30">
        <v>598807.5</v>
      </c>
      <c r="E60" s="30">
        <v>5853712.7000000002</v>
      </c>
      <c r="F60" s="31">
        <v>24.4</v>
      </c>
      <c r="H60" s="29" t="s">
        <v>113</v>
      </c>
      <c r="I60" s="27" t="s">
        <v>60</v>
      </c>
      <c r="J60" s="31">
        <v>2.0699999999999998</v>
      </c>
      <c r="K60" s="31">
        <v>3</v>
      </c>
      <c r="L60" s="17">
        <f>F60+J60</f>
        <v>26.47</v>
      </c>
      <c r="M60" s="16">
        <f>F60+K60</f>
        <v>27.4</v>
      </c>
      <c r="N60" s="12">
        <f>(L60+M60)/2</f>
        <v>26.934999999999999</v>
      </c>
      <c r="O60" s="11">
        <f>ROUND(N60,0)</f>
        <v>27</v>
      </c>
      <c r="P60" s="13">
        <v>2</v>
      </c>
      <c r="Q60" s="13">
        <f>K60</f>
        <v>3</v>
      </c>
      <c r="R60" s="13">
        <f>P60+F60</f>
        <v>26.4</v>
      </c>
      <c r="S60" s="13">
        <f>F60+Q60</f>
        <v>27.4</v>
      </c>
      <c r="T60" s="13">
        <f>(R60+S60)/2</f>
        <v>26.9</v>
      </c>
      <c r="U60" s="14">
        <f>ROUND(T60,0)</f>
        <v>27</v>
      </c>
      <c r="V60" s="34">
        <v>0</v>
      </c>
      <c r="W60" s="31">
        <v>97.04</v>
      </c>
      <c r="X60" s="31">
        <v>2.96</v>
      </c>
      <c r="Y60" s="31">
        <v>2.42</v>
      </c>
      <c r="Z60" s="31">
        <v>1.84</v>
      </c>
      <c r="AA60" s="34">
        <v>2.96</v>
      </c>
      <c r="AB60" s="31">
        <v>2.38</v>
      </c>
      <c r="AC60" s="32">
        <v>1.5976999999999999</v>
      </c>
      <c r="AD60" s="33">
        <v>9.7799999999999998E-2</v>
      </c>
      <c r="AE60" s="33">
        <v>0.1119</v>
      </c>
      <c r="AF60" s="33">
        <v>0.14799999999999999</v>
      </c>
      <c r="AG60" s="33">
        <v>0.15629999999999999</v>
      </c>
      <c r="AH60" s="33">
        <v>0.16500000000000001</v>
      </c>
      <c r="AI60" s="32">
        <v>1.516</v>
      </c>
      <c r="AJ60" s="33">
        <v>0.1036</v>
      </c>
      <c r="AK60" s="33">
        <v>0.1182</v>
      </c>
      <c r="AL60" s="33">
        <v>0.15709999999999999</v>
      </c>
      <c r="AM60" s="33">
        <v>0.16569999999999999</v>
      </c>
      <c r="AN60" s="33">
        <v>0.1489</v>
      </c>
      <c r="AO60" s="2"/>
      <c r="AP60" s="22"/>
    </row>
    <row r="61" spans="1:42">
      <c r="A61" s="29" t="s">
        <v>103</v>
      </c>
      <c r="B61" s="10">
        <v>2</v>
      </c>
      <c r="C61" s="29" t="s">
        <v>86</v>
      </c>
      <c r="D61" s="30">
        <v>598807.5</v>
      </c>
      <c r="E61" s="30">
        <v>5853712.7000000002</v>
      </c>
      <c r="F61" s="31">
        <v>24.4</v>
      </c>
      <c r="H61" s="29" t="s">
        <v>116</v>
      </c>
      <c r="I61" s="27" t="s">
        <v>61</v>
      </c>
      <c r="J61" s="31">
        <v>3.05</v>
      </c>
      <c r="K61" s="31">
        <v>4</v>
      </c>
      <c r="L61" s="17">
        <f>F61+J61</f>
        <v>27.45</v>
      </c>
      <c r="M61" s="16">
        <f>F61+K61</f>
        <v>28.4</v>
      </c>
      <c r="N61" s="12">
        <f>(L61+M61)/2</f>
        <v>27.924999999999997</v>
      </c>
      <c r="O61" s="11">
        <f>ROUND(N61,0)</f>
        <v>28</v>
      </c>
      <c r="P61" s="13">
        <v>3</v>
      </c>
      <c r="Q61" s="13">
        <v>4.5199999999999996</v>
      </c>
      <c r="R61" s="13">
        <f>P61+F61</f>
        <v>27.4</v>
      </c>
      <c r="S61" s="13">
        <f>F61+Q61</f>
        <v>28.919999999999998</v>
      </c>
      <c r="T61" s="13">
        <f>(R61+S61)/2</f>
        <v>28.159999999999997</v>
      </c>
      <c r="U61" s="14">
        <f>ROUND(T61,0)</f>
        <v>28</v>
      </c>
      <c r="V61" s="34">
        <v>0</v>
      </c>
      <c r="W61" s="31">
        <v>96.05</v>
      </c>
      <c r="X61" s="31">
        <v>3.95</v>
      </c>
      <c r="Y61" s="31">
        <v>3.11</v>
      </c>
      <c r="Z61" s="31">
        <v>2.57</v>
      </c>
      <c r="AA61" s="34">
        <v>3.95</v>
      </c>
      <c r="AB61" s="31">
        <v>3.41</v>
      </c>
      <c r="AC61" s="32">
        <v>1.7107000000000001</v>
      </c>
      <c r="AD61" s="33">
        <v>9.2499999999999999E-2</v>
      </c>
      <c r="AE61" s="33">
        <v>0.10730000000000001</v>
      </c>
      <c r="AF61" s="33">
        <v>0.1492</v>
      </c>
      <c r="AG61" s="33">
        <v>0.1583</v>
      </c>
      <c r="AH61" s="33">
        <v>0.16789999999999999</v>
      </c>
      <c r="AI61" s="32">
        <v>1.5749</v>
      </c>
      <c r="AJ61" s="33">
        <v>0.1013</v>
      </c>
      <c r="AK61" s="33">
        <v>0.1169</v>
      </c>
      <c r="AL61" s="33">
        <v>0.15959999999999999</v>
      </c>
      <c r="AM61" s="33">
        <v>0.16900000000000001</v>
      </c>
      <c r="AN61" s="33">
        <v>0.1507</v>
      </c>
      <c r="AP61" s="22"/>
    </row>
    <row r="62" spans="1:42">
      <c r="A62" s="29" t="s">
        <v>103</v>
      </c>
      <c r="B62" s="10">
        <v>2</v>
      </c>
      <c r="C62" s="29" t="s">
        <v>86</v>
      </c>
      <c r="D62" s="30">
        <v>598807.5</v>
      </c>
      <c r="E62" s="30">
        <v>5853712.7000000002</v>
      </c>
      <c r="F62" s="31">
        <v>24.4</v>
      </c>
      <c r="H62" s="29" t="s">
        <v>117</v>
      </c>
      <c r="I62" s="27" t="s">
        <v>62</v>
      </c>
      <c r="J62" s="31">
        <v>4.5199999999999996</v>
      </c>
      <c r="K62" s="31">
        <v>5</v>
      </c>
      <c r="L62" s="17">
        <f>F62+J62</f>
        <v>28.919999999999998</v>
      </c>
      <c r="M62" s="16">
        <f>F62+K62</f>
        <v>29.4</v>
      </c>
      <c r="N62" s="12">
        <f>(L62+M62)/2</f>
        <v>29.159999999999997</v>
      </c>
      <c r="O62" s="11">
        <f>ROUND(N62,0)</f>
        <v>29</v>
      </c>
      <c r="P62" s="13">
        <f>J62</f>
        <v>4.5199999999999996</v>
      </c>
      <c r="Q62" s="13">
        <v>5.55</v>
      </c>
      <c r="R62" s="13">
        <f>P62+F62</f>
        <v>28.919999999999998</v>
      </c>
      <c r="S62" s="13">
        <f>F62+Q62</f>
        <v>29.95</v>
      </c>
      <c r="T62" s="13">
        <f>(R62+S62)/2</f>
        <v>29.434999999999999</v>
      </c>
      <c r="U62" s="14">
        <f>ROUND(T62,0)</f>
        <v>29</v>
      </c>
      <c r="V62" s="34">
        <v>0.56999999999999995</v>
      </c>
      <c r="W62" s="31">
        <v>98.18</v>
      </c>
      <c r="X62" s="31">
        <v>1.25</v>
      </c>
      <c r="Y62" s="31">
        <v>1.07</v>
      </c>
      <c r="Z62" s="31">
        <v>0.81</v>
      </c>
      <c r="AA62" s="34">
        <v>1.25</v>
      </c>
      <c r="AB62" s="31">
        <v>0.99</v>
      </c>
      <c r="AC62" s="32">
        <v>2.9548999999999999</v>
      </c>
      <c r="AD62" s="33">
        <v>0.1537</v>
      </c>
      <c r="AE62" s="33">
        <v>0.1913</v>
      </c>
      <c r="AF62" s="33">
        <v>0.4088</v>
      </c>
      <c r="AG62" s="33">
        <v>0.45419999999999999</v>
      </c>
      <c r="AH62" s="33">
        <v>0.50819999999999999</v>
      </c>
      <c r="AI62" s="32">
        <v>2.8597000000000001</v>
      </c>
      <c r="AJ62" s="33">
        <v>0.15890000000000001</v>
      </c>
      <c r="AK62" s="33">
        <v>0.2</v>
      </c>
      <c r="AL62" s="33">
        <v>0.45450000000000002</v>
      </c>
      <c r="AM62" s="33">
        <v>0.50719999999999998</v>
      </c>
      <c r="AN62" s="33">
        <v>0.40970000000000001</v>
      </c>
      <c r="AO62" s="2"/>
      <c r="AP62" s="22"/>
    </row>
    <row r="63" spans="1:42">
      <c r="A63" s="29" t="s">
        <v>104</v>
      </c>
      <c r="B63" s="10">
        <v>2</v>
      </c>
      <c r="C63" s="29" t="s">
        <v>87</v>
      </c>
      <c r="D63" s="30">
        <v>597974</v>
      </c>
      <c r="E63" s="30">
        <v>5851474</v>
      </c>
      <c r="F63" s="31">
        <v>24.2</v>
      </c>
      <c r="G63" s="24"/>
      <c r="H63" s="29" t="s">
        <v>111</v>
      </c>
      <c r="I63" s="27" t="s">
        <v>65</v>
      </c>
      <c r="J63" s="31">
        <v>0.13</v>
      </c>
      <c r="K63" s="31">
        <v>0.6</v>
      </c>
      <c r="L63" s="17">
        <f>F63+J63</f>
        <v>24.33</v>
      </c>
      <c r="M63" s="16">
        <f>F63+K63</f>
        <v>24.8</v>
      </c>
      <c r="N63" s="12">
        <f>(L63+M63)/2</f>
        <v>24.564999999999998</v>
      </c>
      <c r="O63" s="11">
        <f>ROUND(N63,0)</f>
        <v>25</v>
      </c>
      <c r="P63" s="13">
        <v>0</v>
      </c>
      <c r="Q63" s="13">
        <f>K63</f>
        <v>0.6</v>
      </c>
      <c r="R63" s="13">
        <f>P63+F63</f>
        <v>24.2</v>
      </c>
      <c r="S63" s="13">
        <f>F63+Q63</f>
        <v>24.8</v>
      </c>
      <c r="T63" s="13">
        <f>(R63+S63)/2</f>
        <v>24.5</v>
      </c>
      <c r="U63" s="14">
        <f>ROUND(T63,0)</f>
        <v>25</v>
      </c>
      <c r="V63" s="34">
        <v>0.15</v>
      </c>
      <c r="W63" s="31">
        <v>98.79</v>
      </c>
      <c r="X63" s="31">
        <v>1.05</v>
      </c>
      <c r="Y63" s="31">
        <v>0.82</v>
      </c>
      <c r="Z63" s="31">
        <v>0.48</v>
      </c>
      <c r="AA63" s="34">
        <v>1.05</v>
      </c>
      <c r="AB63" s="31">
        <v>0.71</v>
      </c>
      <c r="AC63" s="32">
        <v>1.5786</v>
      </c>
      <c r="AD63" s="33">
        <v>0.14580000000000001</v>
      </c>
      <c r="AE63" s="33">
        <v>0.16170000000000001</v>
      </c>
      <c r="AF63" s="33">
        <v>0.21640000000000001</v>
      </c>
      <c r="AG63" s="33">
        <v>0.23019999999999999</v>
      </c>
      <c r="AH63" s="33">
        <v>0.24490000000000001</v>
      </c>
      <c r="AI63" s="32">
        <v>1.5602</v>
      </c>
      <c r="AJ63" s="33">
        <v>0.1477</v>
      </c>
      <c r="AK63" s="33">
        <v>0.16370000000000001</v>
      </c>
      <c r="AL63" s="33">
        <v>0.23050000000000001</v>
      </c>
      <c r="AM63" s="33">
        <v>0.245</v>
      </c>
      <c r="AN63" s="33">
        <v>0.21679999999999999</v>
      </c>
      <c r="AP63" s="22"/>
    </row>
    <row r="64" spans="1:42">
      <c r="A64" s="29" t="s">
        <v>104</v>
      </c>
      <c r="B64" s="10">
        <v>2</v>
      </c>
      <c r="C64" s="29" t="s">
        <v>87</v>
      </c>
      <c r="D64" s="30">
        <v>597974</v>
      </c>
      <c r="E64" s="30">
        <v>5851474</v>
      </c>
      <c r="F64" s="31">
        <v>24.2</v>
      </c>
      <c r="G64" s="16"/>
      <c r="H64" s="29" t="s">
        <v>111</v>
      </c>
      <c r="I64" s="27" t="s">
        <v>58</v>
      </c>
      <c r="J64" s="31">
        <v>0.6</v>
      </c>
      <c r="K64" s="31">
        <v>1</v>
      </c>
      <c r="L64" s="17">
        <f>F64+J64</f>
        <v>24.8</v>
      </c>
      <c r="M64" s="16">
        <f>F64+K64</f>
        <v>25.2</v>
      </c>
      <c r="N64" s="12">
        <f>(L64+M64)/2</f>
        <v>25</v>
      </c>
      <c r="O64" s="11">
        <f>ROUND(N64,0)</f>
        <v>25</v>
      </c>
      <c r="P64" s="13">
        <f>J64</f>
        <v>0.6</v>
      </c>
      <c r="Q64" s="13">
        <f>K64</f>
        <v>1</v>
      </c>
      <c r="R64" s="13">
        <f>P64+F64</f>
        <v>24.8</v>
      </c>
      <c r="S64" s="13">
        <f>F64+Q64</f>
        <v>25.2</v>
      </c>
      <c r="T64" s="13">
        <f>(R64+S64)/2</f>
        <v>25</v>
      </c>
      <c r="U64" s="14">
        <f>ROUND(T64,0)</f>
        <v>25</v>
      </c>
      <c r="V64" s="34">
        <v>0.22</v>
      </c>
      <c r="W64" s="31">
        <v>98.28</v>
      </c>
      <c r="X64" s="31">
        <v>1.5</v>
      </c>
      <c r="Y64" s="31">
        <v>1.28</v>
      </c>
      <c r="Z64" s="31">
        <v>0.72</v>
      </c>
      <c r="AA64" s="34">
        <v>1.5</v>
      </c>
      <c r="AB64" s="31">
        <v>0.95</v>
      </c>
      <c r="AC64" s="32">
        <v>1.5531999999999999</v>
      </c>
      <c r="AD64" s="33">
        <v>0.14530000000000001</v>
      </c>
      <c r="AE64" s="33">
        <v>0.16120000000000001</v>
      </c>
      <c r="AF64" s="33">
        <v>0.2132</v>
      </c>
      <c r="AG64" s="33">
        <v>0.22570000000000001</v>
      </c>
      <c r="AH64" s="33">
        <v>0.2389</v>
      </c>
      <c r="AI64" s="32">
        <v>1.5288999999999999</v>
      </c>
      <c r="AJ64" s="33">
        <v>0.14779999999999999</v>
      </c>
      <c r="AK64" s="33">
        <v>0.1638</v>
      </c>
      <c r="AL64" s="33">
        <v>0.22600000000000001</v>
      </c>
      <c r="AM64" s="33">
        <v>0.23910000000000001</v>
      </c>
      <c r="AN64" s="33">
        <v>0.21360000000000001</v>
      </c>
      <c r="AP64" s="22"/>
    </row>
    <row r="65" spans="1:42">
      <c r="A65" s="29" t="s">
        <v>104</v>
      </c>
      <c r="B65" s="10">
        <v>2</v>
      </c>
      <c r="C65" s="29" t="s">
        <v>87</v>
      </c>
      <c r="D65" s="30">
        <v>597974</v>
      </c>
      <c r="E65" s="30">
        <v>5851474</v>
      </c>
      <c r="F65" s="31">
        <v>24.2</v>
      </c>
      <c r="G65" s="16"/>
      <c r="H65" s="29" t="s">
        <v>112</v>
      </c>
      <c r="I65" s="27" t="s">
        <v>59</v>
      </c>
      <c r="J65" s="31">
        <v>1.61</v>
      </c>
      <c r="K65" s="31">
        <v>2</v>
      </c>
      <c r="L65" s="17">
        <f>F65+J65</f>
        <v>25.81</v>
      </c>
      <c r="M65" s="16">
        <f>F65+K65</f>
        <v>26.2</v>
      </c>
      <c r="N65" s="12">
        <f>(L65+M65)/2</f>
        <v>26.004999999999999</v>
      </c>
      <c r="O65" s="11">
        <f>ROUND(N65,0)</f>
        <v>26</v>
      </c>
      <c r="P65" s="13">
        <f>J65</f>
        <v>1.61</v>
      </c>
      <c r="Q65" s="13">
        <f>K65</f>
        <v>2</v>
      </c>
      <c r="R65" s="13">
        <f>P65+F65</f>
        <v>25.81</v>
      </c>
      <c r="S65" s="13">
        <f>F65+Q65</f>
        <v>26.2</v>
      </c>
      <c r="T65" s="13">
        <f>(R65+S65)/2</f>
        <v>26.004999999999999</v>
      </c>
      <c r="U65" s="14">
        <f>ROUND(T65,0)</f>
        <v>26</v>
      </c>
      <c r="V65" s="34">
        <v>0.77</v>
      </c>
      <c r="W65" s="31">
        <v>97.94</v>
      </c>
      <c r="X65" s="31">
        <v>1.29</v>
      </c>
      <c r="Y65" s="31">
        <v>1.1499999999999999</v>
      </c>
      <c r="Z65" s="31">
        <v>0.64</v>
      </c>
      <c r="AA65" s="34">
        <v>1.29</v>
      </c>
      <c r="AB65" s="31">
        <v>0.78</v>
      </c>
      <c r="AC65" s="32">
        <v>1.6336999999999999</v>
      </c>
      <c r="AD65" s="33">
        <v>0.13800000000000001</v>
      </c>
      <c r="AE65" s="33">
        <v>0.14799999999999999</v>
      </c>
      <c r="AF65" s="33">
        <v>0.2097</v>
      </c>
      <c r="AG65" s="33">
        <v>0.22539999999999999</v>
      </c>
      <c r="AH65" s="33">
        <v>0.2424</v>
      </c>
      <c r="AI65" s="32">
        <v>1.6175999999999999</v>
      </c>
      <c r="AJ65" s="33">
        <v>0.13919999999999999</v>
      </c>
      <c r="AK65" s="33">
        <v>0.1492</v>
      </c>
      <c r="AL65" s="33">
        <v>0.22520000000000001</v>
      </c>
      <c r="AM65" s="33">
        <v>0.24179999999999999</v>
      </c>
      <c r="AN65" s="33">
        <v>0.2097</v>
      </c>
      <c r="AP65" s="22"/>
    </row>
    <row r="66" spans="1:42">
      <c r="A66" s="29" t="s">
        <v>104</v>
      </c>
      <c r="B66" s="10">
        <v>2</v>
      </c>
      <c r="C66" s="29" t="s">
        <v>87</v>
      </c>
      <c r="D66" s="30">
        <v>597974</v>
      </c>
      <c r="E66" s="30">
        <v>5851474</v>
      </c>
      <c r="F66" s="31">
        <v>24.2</v>
      </c>
      <c r="H66" s="29" t="s">
        <v>113</v>
      </c>
      <c r="I66" s="27" t="s">
        <v>60</v>
      </c>
      <c r="J66" s="31">
        <v>2.15</v>
      </c>
      <c r="K66" s="31">
        <v>3</v>
      </c>
      <c r="L66" s="17">
        <f>F66+J66</f>
        <v>26.349999999999998</v>
      </c>
      <c r="M66" s="16">
        <f>F66+K66</f>
        <v>27.2</v>
      </c>
      <c r="N66" s="12">
        <f>(L66+M66)/2</f>
        <v>26.774999999999999</v>
      </c>
      <c r="O66" s="11">
        <f>ROUND(N66,0)</f>
        <v>27</v>
      </c>
      <c r="P66" s="13">
        <v>2</v>
      </c>
      <c r="Q66" s="13">
        <f>K66</f>
        <v>3</v>
      </c>
      <c r="R66" s="13">
        <f>P66+F66</f>
        <v>26.2</v>
      </c>
      <c r="S66" s="13">
        <f>F66+Q66</f>
        <v>27.2</v>
      </c>
      <c r="T66" s="13">
        <f>(R66+S66)/2</f>
        <v>26.7</v>
      </c>
      <c r="U66" s="14">
        <f>ROUND(T66,0)</f>
        <v>27</v>
      </c>
      <c r="V66" s="34">
        <v>0.05</v>
      </c>
      <c r="W66" s="31">
        <v>99.16</v>
      </c>
      <c r="X66" s="31">
        <v>0.78</v>
      </c>
      <c r="Y66" s="31">
        <v>0.62</v>
      </c>
      <c r="Z66" s="31">
        <v>0.41</v>
      </c>
      <c r="AA66" s="34">
        <v>0.78</v>
      </c>
      <c r="AB66" s="31">
        <v>0.56999999999999995</v>
      </c>
      <c r="AC66" s="32">
        <v>2.056</v>
      </c>
      <c r="AD66" s="33">
        <v>0.14449999999999999</v>
      </c>
      <c r="AE66" s="33">
        <v>0.1636</v>
      </c>
      <c r="AF66" s="33">
        <v>0.27410000000000001</v>
      </c>
      <c r="AG66" s="33">
        <v>0.29699999999999999</v>
      </c>
      <c r="AH66" s="33">
        <v>0.32190000000000002</v>
      </c>
      <c r="AI66" s="32">
        <v>2.0333999999999999</v>
      </c>
      <c r="AJ66" s="33">
        <v>0.14630000000000001</v>
      </c>
      <c r="AK66" s="33">
        <v>0.16550000000000001</v>
      </c>
      <c r="AL66" s="33">
        <v>0.29749999999999999</v>
      </c>
      <c r="AM66" s="33">
        <v>0.32229999999999998</v>
      </c>
      <c r="AN66" s="33">
        <v>0.2747</v>
      </c>
      <c r="AP66" s="22"/>
    </row>
    <row r="67" spans="1:42">
      <c r="A67" s="29" t="s">
        <v>104</v>
      </c>
      <c r="B67" s="10">
        <v>2</v>
      </c>
      <c r="C67" s="29" t="s">
        <v>87</v>
      </c>
      <c r="D67" s="30">
        <v>597974</v>
      </c>
      <c r="E67" s="30">
        <v>5851474</v>
      </c>
      <c r="F67" s="31">
        <v>24.2</v>
      </c>
      <c r="H67" s="29" t="s">
        <v>116</v>
      </c>
      <c r="I67" s="27" t="s">
        <v>63</v>
      </c>
      <c r="J67" s="31">
        <v>3</v>
      </c>
      <c r="K67" s="31">
        <v>4</v>
      </c>
      <c r="L67" s="17">
        <f>F67+J67</f>
        <v>27.2</v>
      </c>
      <c r="M67" s="16">
        <f>F67+K67</f>
        <v>28.2</v>
      </c>
      <c r="N67" s="12">
        <f>(L67+M67)/2</f>
        <v>27.7</v>
      </c>
      <c r="O67" s="11">
        <f>ROUND(N67,0)</f>
        <v>28</v>
      </c>
      <c r="P67" s="13">
        <f>J67</f>
        <v>3</v>
      </c>
      <c r="Q67" s="13">
        <f>K67</f>
        <v>4</v>
      </c>
      <c r="R67" s="13">
        <f>P67+F67</f>
        <v>27.2</v>
      </c>
      <c r="S67" s="13">
        <f>F67+Q67</f>
        <v>28.2</v>
      </c>
      <c r="T67" s="13">
        <f>(R67+S67)/2</f>
        <v>27.7</v>
      </c>
      <c r="U67" s="14">
        <f>ROUND(T67,0)</f>
        <v>28</v>
      </c>
      <c r="V67" s="34">
        <v>0</v>
      </c>
      <c r="W67" s="31">
        <v>99.23</v>
      </c>
      <c r="X67" s="31">
        <v>0.77</v>
      </c>
      <c r="Y67" s="31">
        <v>0.55000000000000004</v>
      </c>
      <c r="Z67" s="31">
        <v>0.3</v>
      </c>
      <c r="AA67" s="34">
        <v>0.77</v>
      </c>
      <c r="AB67" s="31">
        <v>0.52</v>
      </c>
      <c r="AC67" s="32">
        <v>1.8487</v>
      </c>
      <c r="AD67" s="33">
        <v>0.1633</v>
      </c>
      <c r="AE67" s="33">
        <v>0.18820000000000001</v>
      </c>
      <c r="AF67" s="33">
        <v>0.2833</v>
      </c>
      <c r="AG67" s="33">
        <v>0.3019</v>
      </c>
      <c r="AH67" s="33">
        <v>0.32169999999999999</v>
      </c>
      <c r="AI67" s="32">
        <v>1.819</v>
      </c>
      <c r="AJ67" s="33">
        <v>0.16619999999999999</v>
      </c>
      <c r="AK67" s="33">
        <v>0.1898</v>
      </c>
      <c r="AL67" s="33">
        <v>0.30230000000000001</v>
      </c>
      <c r="AM67" s="33">
        <v>0.32200000000000001</v>
      </c>
      <c r="AN67" s="33">
        <v>0.2838</v>
      </c>
      <c r="AP67" s="22"/>
    </row>
    <row r="68" spans="1:42">
      <c r="A68" s="29" t="s">
        <v>104</v>
      </c>
      <c r="B68" s="10">
        <v>2</v>
      </c>
      <c r="C68" s="29" t="s">
        <v>87</v>
      </c>
      <c r="D68" s="30">
        <v>597974</v>
      </c>
      <c r="E68" s="30">
        <v>5851474</v>
      </c>
      <c r="F68" s="31">
        <v>24.2</v>
      </c>
      <c r="H68" s="29" t="s">
        <v>115</v>
      </c>
      <c r="I68" s="27" t="s">
        <v>62</v>
      </c>
      <c r="J68" s="31">
        <v>5</v>
      </c>
      <c r="K68" s="31">
        <v>5.4</v>
      </c>
      <c r="L68" s="17">
        <f>F68+J68</f>
        <v>29.2</v>
      </c>
      <c r="M68" s="16">
        <f>F68+K68</f>
        <v>29.6</v>
      </c>
      <c r="N68" s="12">
        <f>(L68+M68)/2</f>
        <v>29.4</v>
      </c>
      <c r="O68" s="11">
        <f>ROUND(N68,0)</f>
        <v>29</v>
      </c>
      <c r="P68" s="13">
        <v>4</v>
      </c>
      <c r="Q68" s="13">
        <f>K68</f>
        <v>5.4</v>
      </c>
      <c r="R68" s="13">
        <f>P68+F68</f>
        <v>28.2</v>
      </c>
      <c r="S68" s="13">
        <f>F68+Q68</f>
        <v>29.6</v>
      </c>
      <c r="T68" s="13">
        <f>(R68+S68)/2</f>
        <v>28.9</v>
      </c>
      <c r="U68" s="14">
        <f>ROUND(T68,0)</f>
        <v>29</v>
      </c>
      <c r="V68" s="34">
        <v>0</v>
      </c>
      <c r="W68" s="31">
        <v>98.43</v>
      </c>
      <c r="X68" s="31">
        <v>1.57</v>
      </c>
      <c r="Y68" s="31">
        <v>1.26</v>
      </c>
      <c r="Z68" s="31">
        <v>0.64</v>
      </c>
      <c r="AA68" s="34">
        <v>1.57</v>
      </c>
      <c r="AB68" s="31">
        <v>0.95</v>
      </c>
      <c r="AC68" s="32">
        <v>1.3443000000000001</v>
      </c>
      <c r="AD68" s="33">
        <v>0.1245</v>
      </c>
      <c r="AE68" s="33">
        <v>0.12859999999999999</v>
      </c>
      <c r="AF68" s="33">
        <v>0.15790000000000001</v>
      </c>
      <c r="AG68" s="33">
        <v>0.16739999999999999</v>
      </c>
      <c r="AH68" s="33">
        <v>0.17749999999999999</v>
      </c>
      <c r="AI68" s="32">
        <v>1.3361000000000001</v>
      </c>
      <c r="AJ68" s="33">
        <v>0.12559999999999999</v>
      </c>
      <c r="AK68" s="33">
        <v>0.1293</v>
      </c>
      <c r="AL68" s="33">
        <v>0.1678</v>
      </c>
      <c r="AM68" s="33">
        <v>0.17780000000000001</v>
      </c>
      <c r="AN68" s="33">
        <v>0.1583</v>
      </c>
      <c r="AO68" s="2"/>
      <c r="AP68" s="22"/>
    </row>
    <row r="69" spans="1:42">
      <c r="A69" s="29" t="s">
        <v>105</v>
      </c>
      <c r="B69" s="10">
        <v>2</v>
      </c>
      <c r="C69" s="29" t="s">
        <v>88</v>
      </c>
      <c r="D69" s="30">
        <v>598263.19999999995</v>
      </c>
      <c r="E69" s="30">
        <v>5851444.4000000004</v>
      </c>
      <c r="F69" s="31">
        <v>24</v>
      </c>
      <c r="H69" s="29" t="s">
        <v>111</v>
      </c>
      <c r="I69" s="27" t="s">
        <v>65</v>
      </c>
      <c r="J69" s="31">
        <v>0.1</v>
      </c>
      <c r="K69" s="31">
        <v>0.5</v>
      </c>
      <c r="L69" s="17">
        <f>F69+J69</f>
        <v>24.1</v>
      </c>
      <c r="M69" s="16">
        <f>F69+K69</f>
        <v>24.5</v>
      </c>
      <c r="N69" s="12">
        <f>(L69+M69)/2</f>
        <v>24.3</v>
      </c>
      <c r="O69" s="11">
        <f>ROUND(N69,0)</f>
        <v>24</v>
      </c>
      <c r="P69" s="13">
        <v>0</v>
      </c>
      <c r="Q69" s="13">
        <f>K69</f>
        <v>0.5</v>
      </c>
      <c r="R69" s="13">
        <f>P69+F69</f>
        <v>24</v>
      </c>
      <c r="S69" s="13">
        <f>F69+Q69</f>
        <v>24.5</v>
      </c>
      <c r="T69" s="13">
        <f>(R69+S69)/2</f>
        <v>24.25</v>
      </c>
      <c r="U69" s="14">
        <f>ROUND(T69,0)</f>
        <v>24</v>
      </c>
      <c r="V69" s="34">
        <v>0.55000000000000004</v>
      </c>
      <c r="W69" s="31">
        <v>98.58</v>
      </c>
      <c r="X69" s="31">
        <v>0.87</v>
      </c>
      <c r="Y69" s="31">
        <v>0.56999999999999995</v>
      </c>
      <c r="Z69" s="31">
        <v>0.38</v>
      </c>
      <c r="AA69" s="34">
        <v>0.87</v>
      </c>
      <c r="AB69" s="31">
        <v>0.68</v>
      </c>
      <c r="AC69" s="32">
        <v>1.9490000000000001</v>
      </c>
      <c r="AD69" s="33">
        <v>0.14799999999999999</v>
      </c>
      <c r="AE69" s="33">
        <v>0.1666</v>
      </c>
      <c r="AF69" s="33">
        <v>0.25700000000000001</v>
      </c>
      <c r="AG69" s="33">
        <v>0.28839999999999999</v>
      </c>
      <c r="AH69" s="33">
        <v>0.32369999999999999</v>
      </c>
      <c r="AI69" s="32">
        <v>1.9220999999999999</v>
      </c>
      <c r="AJ69" s="33">
        <v>0.15</v>
      </c>
      <c r="AK69" s="33">
        <v>0.1686</v>
      </c>
      <c r="AL69" s="33">
        <v>0.28820000000000001</v>
      </c>
      <c r="AM69" s="33">
        <v>0.32300000000000001</v>
      </c>
      <c r="AN69" s="33">
        <v>0.25719999999999998</v>
      </c>
    </row>
    <row r="70" spans="1:42">
      <c r="A70" s="29" t="s">
        <v>105</v>
      </c>
      <c r="B70" s="10">
        <v>2</v>
      </c>
      <c r="C70" s="29" t="s">
        <v>88</v>
      </c>
      <c r="D70" s="30">
        <v>598263.19999999995</v>
      </c>
      <c r="E70" s="30">
        <v>5851444.4000000004</v>
      </c>
      <c r="F70" s="31">
        <v>24</v>
      </c>
      <c r="G70" s="16"/>
      <c r="H70" s="29" t="s">
        <v>111</v>
      </c>
      <c r="I70" s="27" t="s">
        <v>58</v>
      </c>
      <c r="J70" s="31">
        <v>0.5</v>
      </c>
      <c r="K70" s="31">
        <v>1</v>
      </c>
      <c r="L70" s="17">
        <f>F70+J70</f>
        <v>24.5</v>
      </c>
      <c r="M70" s="16">
        <f>F70+K70</f>
        <v>25</v>
      </c>
      <c r="N70" s="12">
        <f>(L70+M70)/2</f>
        <v>24.75</v>
      </c>
      <c r="O70" s="11">
        <f>ROUND(N70,0)</f>
        <v>25</v>
      </c>
      <c r="P70" s="13">
        <f>J70</f>
        <v>0.5</v>
      </c>
      <c r="Q70" s="13">
        <f>K70</f>
        <v>1</v>
      </c>
      <c r="R70" s="13">
        <f>P70+F70</f>
        <v>24.5</v>
      </c>
      <c r="S70" s="13">
        <f>F70+Q70</f>
        <v>25</v>
      </c>
      <c r="T70" s="13">
        <f>(R70+S70)/2</f>
        <v>24.75</v>
      </c>
      <c r="U70" s="14">
        <f>ROUND(T70,0)</f>
        <v>25</v>
      </c>
      <c r="V70" s="34">
        <v>0.3</v>
      </c>
      <c r="W70" s="31">
        <v>98.4</v>
      </c>
      <c r="X70" s="31">
        <v>1.3</v>
      </c>
      <c r="Y70" s="31">
        <v>1</v>
      </c>
      <c r="Z70" s="31">
        <v>0.49</v>
      </c>
      <c r="AA70" s="34">
        <v>1.3</v>
      </c>
      <c r="AB70" s="31">
        <v>0.79</v>
      </c>
      <c r="AC70" s="32">
        <v>1.899</v>
      </c>
      <c r="AD70" s="33">
        <v>0.14760000000000001</v>
      </c>
      <c r="AE70" s="33">
        <v>0.16619999999999999</v>
      </c>
      <c r="AF70" s="33">
        <v>0.24959999999999999</v>
      </c>
      <c r="AG70" s="33">
        <v>0.28029999999999999</v>
      </c>
      <c r="AH70" s="33">
        <v>0.31490000000000001</v>
      </c>
      <c r="AI70" s="32">
        <v>1.8714999999999999</v>
      </c>
      <c r="AJ70" s="33">
        <v>0.15</v>
      </c>
      <c r="AK70" s="33">
        <v>0.16869999999999999</v>
      </c>
      <c r="AL70" s="33">
        <v>0.28079999999999999</v>
      </c>
      <c r="AM70" s="33">
        <v>0.315</v>
      </c>
      <c r="AN70" s="33">
        <v>0.25030000000000002</v>
      </c>
    </row>
    <row r="71" spans="1:42">
      <c r="A71" s="29" t="s">
        <v>105</v>
      </c>
      <c r="B71" s="10">
        <v>2</v>
      </c>
      <c r="C71" s="29" t="s">
        <v>88</v>
      </c>
      <c r="D71" s="30">
        <v>598263.19999999995</v>
      </c>
      <c r="E71" s="30">
        <v>5851444.4000000004</v>
      </c>
      <c r="F71" s="31">
        <v>24</v>
      </c>
      <c r="H71" s="29" t="s">
        <v>112</v>
      </c>
      <c r="I71" s="27" t="s">
        <v>59</v>
      </c>
      <c r="J71" s="31">
        <v>1.03</v>
      </c>
      <c r="K71" s="31">
        <v>1.5</v>
      </c>
      <c r="L71" s="17">
        <f>F71+J71</f>
        <v>25.03</v>
      </c>
      <c r="M71" s="16">
        <f>F71+K71</f>
        <v>25.5</v>
      </c>
      <c r="N71" s="12">
        <f>(L71+M71)/2</f>
        <v>25.265000000000001</v>
      </c>
      <c r="O71" s="11">
        <f>ROUND(N71,0)</f>
        <v>25</v>
      </c>
      <c r="P71" s="13">
        <v>1</v>
      </c>
      <c r="Q71" s="13">
        <f>K71</f>
        <v>1.5</v>
      </c>
      <c r="R71" s="13">
        <f>P71+F71</f>
        <v>25</v>
      </c>
      <c r="S71" s="13">
        <f>F71+Q71</f>
        <v>25.5</v>
      </c>
      <c r="T71" s="13">
        <f>(R71+S71)/2</f>
        <v>25.25</v>
      </c>
      <c r="U71" s="14">
        <f>ROUND(T71,0)</f>
        <v>25</v>
      </c>
      <c r="V71" s="34">
        <v>1.49</v>
      </c>
      <c r="W71" s="31">
        <v>97.76</v>
      </c>
      <c r="X71" s="31">
        <v>0.76</v>
      </c>
      <c r="Y71" s="31">
        <v>0.48</v>
      </c>
      <c r="Z71" s="31">
        <v>0.41</v>
      </c>
      <c r="AA71" s="34">
        <v>0.76</v>
      </c>
      <c r="AB71" s="31">
        <v>0.68</v>
      </c>
      <c r="AC71" s="32">
        <v>1.9339</v>
      </c>
      <c r="AD71" s="33">
        <v>0.14849999999999999</v>
      </c>
      <c r="AE71" s="33">
        <v>0.16800000000000001</v>
      </c>
      <c r="AF71" s="33">
        <v>0.25480000000000003</v>
      </c>
      <c r="AG71" s="33">
        <v>0.28710000000000002</v>
      </c>
      <c r="AH71" s="33">
        <v>0.3236</v>
      </c>
      <c r="AI71" s="32">
        <v>1.8976999999999999</v>
      </c>
      <c r="AJ71" s="33">
        <v>0.1502</v>
      </c>
      <c r="AK71" s="33">
        <v>0.16950000000000001</v>
      </c>
      <c r="AL71" s="33">
        <v>0.28499999999999998</v>
      </c>
      <c r="AM71" s="33">
        <v>0.32029999999999997</v>
      </c>
      <c r="AN71" s="33">
        <v>0.25359999999999999</v>
      </c>
    </row>
    <row r="72" spans="1:42">
      <c r="A72" s="29" t="s">
        <v>105</v>
      </c>
      <c r="B72" s="10">
        <v>2</v>
      </c>
      <c r="C72" s="29" t="s">
        <v>88</v>
      </c>
      <c r="D72" s="30">
        <v>598263.19999999995</v>
      </c>
      <c r="E72" s="30">
        <v>5851444.4000000004</v>
      </c>
      <c r="F72" s="31">
        <v>24</v>
      </c>
      <c r="G72" s="16"/>
      <c r="H72" s="29" t="s">
        <v>113</v>
      </c>
      <c r="I72" s="27" t="s">
        <v>60</v>
      </c>
      <c r="J72" s="31">
        <v>2.0299999999999998</v>
      </c>
      <c r="K72" s="31">
        <v>3</v>
      </c>
      <c r="L72" s="17">
        <f>F72+J72</f>
        <v>26.03</v>
      </c>
      <c r="M72" s="16">
        <f>F72+K72</f>
        <v>27</v>
      </c>
      <c r="N72" s="12">
        <f>(L72+M72)/2</f>
        <v>26.515000000000001</v>
      </c>
      <c r="O72" s="11">
        <f>ROUND(N72,0)</f>
        <v>27</v>
      </c>
      <c r="P72" s="13">
        <v>1.5</v>
      </c>
      <c r="Q72" s="13">
        <f>K72</f>
        <v>3</v>
      </c>
      <c r="R72" s="13">
        <f>P72+F72</f>
        <v>25.5</v>
      </c>
      <c r="S72" s="13">
        <f>F72+Q72</f>
        <v>27</v>
      </c>
      <c r="T72" s="13">
        <f>(R72+S72)/2</f>
        <v>26.25</v>
      </c>
      <c r="U72" s="14">
        <f>ROUND(T72,0)</f>
        <v>26</v>
      </c>
      <c r="V72" s="34">
        <v>0.13</v>
      </c>
      <c r="W72" s="31">
        <v>99.27</v>
      </c>
      <c r="X72" s="31">
        <v>0.6</v>
      </c>
      <c r="Y72" s="31">
        <v>0.42</v>
      </c>
      <c r="Z72" s="31">
        <v>0.31</v>
      </c>
      <c r="AA72" s="34">
        <v>0.6</v>
      </c>
      <c r="AB72" s="31">
        <v>0.49</v>
      </c>
      <c r="AC72" s="32">
        <v>1.7907999999999999</v>
      </c>
      <c r="AD72" s="33">
        <v>0.18029999999999999</v>
      </c>
      <c r="AE72" s="33">
        <v>0.19939999999999999</v>
      </c>
      <c r="AF72" s="33">
        <v>0.29930000000000001</v>
      </c>
      <c r="AG72" s="33">
        <v>0.32290000000000002</v>
      </c>
      <c r="AH72" s="33">
        <v>0.3483</v>
      </c>
      <c r="AI72" s="32">
        <v>1.7769999999999999</v>
      </c>
      <c r="AJ72" s="33">
        <v>0.18190000000000001</v>
      </c>
      <c r="AK72" s="33">
        <v>0.20100000000000001</v>
      </c>
      <c r="AL72" s="33">
        <v>0.3231</v>
      </c>
      <c r="AM72" s="33">
        <v>0.34839999999999999</v>
      </c>
      <c r="AN72" s="33">
        <v>0.29970000000000002</v>
      </c>
      <c r="AO72" s="2"/>
    </row>
    <row r="73" spans="1:42">
      <c r="A73" s="29" t="s">
        <v>105</v>
      </c>
      <c r="B73" s="10">
        <v>2</v>
      </c>
      <c r="C73" s="29" t="s">
        <v>88</v>
      </c>
      <c r="D73" s="30">
        <v>598263.19999999995</v>
      </c>
      <c r="E73" s="30">
        <v>5851444.4000000004</v>
      </c>
      <c r="F73" s="31">
        <v>24</v>
      </c>
      <c r="H73" s="29" t="s">
        <v>116</v>
      </c>
      <c r="I73" s="27" t="s">
        <v>63</v>
      </c>
      <c r="J73" s="31">
        <v>3.02</v>
      </c>
      <c r="K73" s="31">
        <v>4</v>
      </c>
      <c r="L73" s="17">
        <f>F73+J73</f>
        <v>27.02</v>
      </c>
      <c r="M73" s="16">
        <f>F73+K73</f>
        <v>28</v>
      </c>
      <c r="N73" s="12">
        <f>(L73+M73)/2</f>
        <v>27.509999999999998</v>
      </c>
      <c r="O73" s="11">
        <f>ROUND(N73,0)</f>
        <v>28</v>
      </c>
      <c r="P73" s="13">
        <v>3</v>
      </c>
      <c r="Q73" s="13">
        <f>K73</f>
        <v>4</v>
      </c>
      <c r="R73" s="13">
        <f>P73+F73</f>
        <v>27</v>
      </c>
      <c r="S73" s="13">
        <f>F73+Q73</f>
        <v>28</v>
      </c>
      <c r="T73" s="13">
        <f>(R73+S73)/2</f>
        <v>27.5</v>
      </c>
      <c r="U73" s="14">
        <f>ROUND(T73,0)</f>
        <v>28</v>
      </c>
      <c r="V73" s="34">
        <v>0.16</v>
      </c>
      <c r="W73" s="31">
        <v>99.28</v>
      </c>
      <c r="X73" s="31">
        <v>0.56000000000000005</v>
      </c>
      <c r="Y73" s="31">
        <v>0.42</v>
      </c>
      <c r="Z73" s="31">
        <v>0.28999999999999998</v>
      </c>
      <c r="AA73" s="34">
        <v>0.56000000000000005</v>
      </c>
      <c r="AB73" s="31">
        <v>0.43</v>
      </c>
      <c r="AC73" s="32">
        <v>1.8893</v>
      </c>
      <c r="AD73" s="33">
        <v>0.16539999999999999</v>
      </c>
      <c r="AE73" s="33">
        <v>0.1903</v>
      </c>
      <c r="AF73" s="33">
        <v>0.2913</v>
      </c>
      <c r="AG73" s="33">
        <v>0.31240000000000001</v>
      </c>
      <c r="AH73" s="33">
        <v>0.33510000000000001</v>
      </c>
      <c r="AI73" s="32">
        <v>1.8647</v>
      </c>
      <c r="AJ73" s="33">
        <v>0.1676</v>
      </c>
      <c r="AK73" s="33">
        <v>0.19170000000000001</v>
      </c>
      <c r="AL73" s="33">
        <v>0.31259999999999999</v>
      </c>
      <c r="AM73" s="33">
        <v>0.3352</v>
      </c>
      <c r="AN73" s="33">
        <v>0.29160000000000003</v>
      </c>
    </row>
    <row r="74" spans="1:42">
      <c r="A74" s="29" t="s">
        <v>105</v>
      </c>
      <c r="B74" s="10">
        <v>2</v>
      </c>
      <c r="C74" s="29" t="s">
        <v>88</v>
      </c>
      <c r="D74" s="30">
        <v>598263.19999999995</v>
      </c>
      <c r="E74" s="30">
        <v>5851444.4000000004</v>
      </c>
      <c r="F74" s="31">
        <v>24</v>
      </c>
      <c r="H74" s="29" t="s">
        <v>117</v>
      </c>
      <c r="I74" s="27" t="s">
        <v>61</v>
      </c>
      <c r="J74" s="31">
        <v>4.03</v>
      </c>
      <c r="K74" s="31">
        <v>5</v>
      </c>
      <c r="L74" s="17">
        <f>F74+J74</f>
        <v>28.03</v>
      </c>
      <c r="M74" s="16">
        <f>F74+K74</f>
        <v>29</v>
      </c>
      <c r="N74" s="12">
        <f>(L74+M74)/2</f>
        <v>28.515000000000001</v>
      </c>
      <c r="O74" s="11">
        <f>ROUND(N74,0)</f>
        <v>29</v>
      </c>
      <c r="P74" s="13">
        <v>4</v>
      </c>
      <c r="Q74" s="13">
        <f>K74</f>
        <v>5</v>
      </c>
      <c r="R74" s="13">
        <f>P74+F74</f>
        <v>28</v>
      </c>
      <c r="S74" s="13">
        <f>F74+Q74</f>
        <v>29</v>
      </c>
      <c r="T74" s="13">
        <f>(R74+S74)/2</f>
        <v>28.5</v>
      </c>
      <c r="U74" s="14">
        <f>ROUND(T74,0)</f>
        <v>29</v>
      </c>
      <c r="V74" s="34">
        <v>0</v>
      </c>
      <c r="W74" s="31">
        <v>99.08</v>
      </c>
      <c r="X74" s="31">
        <v>0.92</v>
      </c>
      <c r="Y74" s="31">
        <v>0.79</v>
      </c>
      <c r="Z74" s="31">
        <v>0.51</v>
      </c>
      <c r="AA74" s="34">
        <v>0.92</v>
      </c>
      <c r="AB74" s="31">
        <v>0.64</v>
      </c>
      <c r="AC74" s="32">
        <v>1.6277999999999999</v>
      </c>
      <c r="AD74" s="33">
        <v>0.1328</v>
      </c>
      <c r="AE74" s="33">
        <v>0.14080000000000001</v>
      </c>
      <c r="AF74" s="33">
        <v>0.20019999999999999</v>
      </c>
      <c r="AG74" s="33">
        <v>0.21609999999999999</v>
      </c>
      <c r="AH74" s="33">
        <v>0.23319999999999999</v>
      </c>
      <c r="AI74" s="32">
        <v>1.6201000000000001</v>
      </c>
      <c r="AJ74" s="33">
        <v>0.13370000000000001</v>
      </c>
      <c r="AK74" s="33">
        <v>0.1416</v>
      </c>
      <c r="AL74" s="33">
        <v>0.2165</v>
      </c>
      <c r="AM74" s="33">
        <v>0.2336</v>
      </c>
      <c r="AN74" s="33">
        <v>0.20069999999999999</v>
      </c>
      <c r="AO74" s="2"/>
    </row>
    <row r="75" spans="1:42">
      <c r="A75" s="29" t="s">
        <v>106</v>
      </c>
      <c r="B75" s="10">
        <v>2</v>
      </c>
      <c r="C75" s="29" t="s">
        <v>89</v>
      </c>
      <c r="D75" s="30">
        <v>598419.5</v>
      </c>
      <c r="E75" s="30">
        <v>5852792.0999999996</v>
      </c>
      <c r="F75" s="31">
        <v>29</v>
      </c>
      <c r="H75" s="29" t="s">
        <v>111</v>
      </c>
      <c r="I75" s="27" t="s">
        <v>65</v>
      </c>
      <c r="J75" s="31">
        <v>0.23</v>
      </c>
      <c r="K75" s="31">
        <v>0.6</v>
      </c>
      <c r="L75" s="17">
        <f>F75+J75</f>
        <v>29.23</v>
      </c>
      <c r="M75" s="16">
        <f>F75+K75</f>
        <v>29.6</v>
      </c>
      <c r="N75" s="12">
        <f>(L75+M75)/2</f>
        <v>29.414999999999999</v>
      </c>
      <c r="O75" s="11">
        <f>ROUND(N75,0)</f>
        <v>29</v>
      </c>
      <c r="P75" s="13">
        <v>0</v>
      </c>
      <c r="Q75" s="13">
        <f>K75</f>
        <v>0.6</v>
      </c>
      <c r="R75" s="13">
        <f>P75+F75</f>
        <v>29</v>
      </c>
      <c r="S75" s="13">
        <f>F75+Q75</f>
        <v>29.6</v>
      </c>
      <c r="T75" s="13">
        <f>(R75+S75)/2</f>
        <v>29.3</v>
      </c>
      <c r="U75" s="14">
        <f>ROUND(T75,0)</f>
        <v>29</v>
      </c>
      <c r="V75" s="34">
        <v>0.22</v>
      </c>
      <c r="W75" s="31">
        <v>99.36</v>
      </c>
      <c r="X75" s="31">
        <v>0.42</v>
      </c>
      <c r="Y75" s="31">
        <v>0.3</v>
      </c>
      <c r="Z75" s="31">
        <v>0.24</v>
      </c>
      <c r="AA75" s="34">
        <v>0.42</v>
      </c>
      <c r="AB75" s="31">
        <v>0.37</v>
      </c>
      <c r="AC75" s="32">
        <v>3.2965</v>
      </c>
      <c r="AD75" s="33">
        <v>0.15659999999999999</v>
      </c>
      <c r="AE75" s="33">
        <v>0.1825</v>
      </c>
      <c r="AF75" s="33">
        <v>0.45419999999999999</v>
      </c>
      <c r="AG75" s="33">
        <v>0.5161</v>
      </c>
      <c r="AH75" s="33">
        <v>0.57809999999999995</v>
      </c>
      <c r="AI75" s="32">
        <v>3.2664</v>
      </c>
      <c r="AJ75" s="33">
        <v>0.158</v>
      </c>
      <c r="AK75" s="33">
        <v>0.1842</v>
      </c>
      <c r="AL75" s="33">
        <v>0.51619999999999999</v>
      </c>
      <c r="AM75" s="33">
        <v>0.57789999999999997</v>
      </c>
      <c r="AN75" s="33">
        <v>0.4546</v>
      </c>
    </row>
    <row r="76" spans="1:42">
      <c r="A76" s="29" t="s">
        <v>106</v>
      </c>
      <c r="B76" s="10">
        <v>2</v>
      </c>
      <c r="C76" s="29" t="s">
        <v>89</v>
      </c>
      <c r="D76" s="30">
        <v>598419.5</v>
      </c>
      <c r="E76" s="30">
        <v>5852792.0999999996</v>
      </c>
      <c r="F76" s="31">
        <v>29</v>
      </c>
      <c r="H76" s="29" t="s">
        <v>111</v>
      </c>
      <c r="I76" s="27" t="s">
        <v>58</v>
      </c>
      <c r="J76" s="31">
        <v>0.6</v>
      </c>
      <c r="K76" s="31">
        <v>1</v>
      </c>
      <c r="L76" s="17">
        <f>F76+J76</f>
        <v>29.6</v>
      </c>
      <c r="M76" s="16">
        <f>F76+K76</f>
        <v>30</v>
      </c>
      <c r="N76" s="12">
        <f>(L76+M76)/2</f>
        <v>29.8</v>
      </c>
      <c r="O76" s="11">
        <f>ROUND(N76,0)</f>
        <v>30</v>
      </c>
      <c r="P76" s="13">
        <f>J76</f>
        <v>0.6</v>
      </c>
      <c r="Q76" s="13">
        <f>K76</f>
        <v>1</v>
      </c>
      <c r="R76" s="13">
        <f>P76+F76</f>
        <v>29.6</v>
      </c>
      <c r="S76" s="13">
        <f>F76+Q76</f>
        <v>30</v>
      </c>
      <c r="T76" s="13">
        <f>(R76+S76)/2</f>
        <v>29.8</v>
      </c>
      <c r="U76" s="14">
        <f>ROUND(T76,0)</f>
        <v>30</v>
      </c>
      <c r="V76" s="34">
        <v>1.27</v>
      </c>
      <c r="W76" s="31">
        <v>98.08</v>
      </c>
      <c r="X76" s="31">
        <v>0.65</v>
      </c>
      <c r="Y76" s="31">
        <v>0.56000000000000005</v>
      </c>
      <c r="Z76" s="31">
        <v>0.3</v>
      </c>
      <c r="AA76" s="34">
        <v>0.65</v>
      </c>
      <c r="AB76" s="31">
        <v>0.38</v>
      </c>
      <c r="AC76" s="32">
        <v>3.3607999999999998</v>
      </c>
      <c r="AD76" s="33">
        <v>0.17199999999999999</v>
      </c>
      <c r="AE76" s="33">
        <v>0.23200000000000001</v>
      </c>
      <c r="AF76" s="33">
        <v>0.51910000000000001</v>
      </c>
      <c r="AG76" s="33">
        <v>0.57820000000000005</v>
      </c>
      <c r="AH76" s="33">
        <v>0.64390000000000003</v>
      </c>
      <c r="AI76" s="32">
        <v>3.3098000000000001</v>
      </c>
      <c r="AJ76" s="33">
        <v>0.17349999999999999</v>
      </c>
      <c r="AK76" s="33">
        <v>0.23400000000000001</v>
      </c>
      <c r="AL76" s="33">
        <v>0.57440000000000002</v>
      </c>
      <c r="AM76" s="33">
        <v>0.63859999999999995</v>
      </c>
      <c r="AN76" s="33">
        <v>0.51659999999999995</v>
      </c>
    </row>
    <row r="77" spans="1:42">
      <c r="A77" s="29" t="s">
        <v>106</v>
      </c>
      <c r="B77" s="10">
        <v>2</v>
      </c>
      <c r="C77" s="29" t="s">
        <v>89</v>
      </c>
      <c r="D77" s="30">
        <v>598419.5</v>
      </c>
      <c r="E77" s="30">
        <v>5852792.0999999996</v>
      </c>
      <c r="F77" s="31">
        <v>29</v>
      </c>
      <c r="H77" s="29" t="s">
        <v>112</v>
      </c>
      <c r="I77" s="27" t="s">
        <v>59</v>
      </c>
      <c r="J77" s="31">
        <v>1.03</v>
      </c>
      <c r="K77" s="31">
        <v>2</v>
      </c>
      <c r="L77" s="17">
        <f>F77+J77</f>
        <v>30.03</v>
      </c>
      <c r="M77" s="16">
        <f>F77+K77</f>
        <v>31</v>
      </c>
      <c r="N77" s="12">
        <f>(L77+M77)/2</f>
        <v>30.515000000000001</v>
      </c>
      <c r="O77" s="11">
        <f>ROUND(N77,0)</f>
        <v>31</v>
      </c>
      <c r="P77" s="13">
        <v>1</v>
      </c>
      <c r="Q77" s="13">
        <f>K77</f>
        <v>2</v>
      </c>
      <c r="R77" s="13">
        <f>P77+F77</f>
        <v>30</v>
      </c>
      <c r="S77" s="13">
        <f>F77+Q77</f>
        <v>31</v>
      </c>
      <c r="T77" s="13">
        <f>(R77+S77)/2</f>
        <v>30.5</v>
      </c>
      <c r="U77" s="14">
        <f>ROUND(T77,0)</f>
        <v>31</v>
      </c>
      <c r="V77" s="34">
        <v>0.17</v>
      </c>
      <c r="W77" s="31">
        <v>99.29</v>
      </c>
      <c r="X77" s="31">
        <v>0.54</v>
      </c>
      <c r="Y77" s="31">
        <v>0.38</v>
      </c>
      <c r="Z77" s="31">
        <v>0.27</v>
      </c>
      <c r="AA77" s="34">
        <v>0.54</v>
      </c>
      <c r="AB77" s="31">
        <v>0.43</v>
      </c>
      <c r="AC77" s="32">
        <v>2.8733</v>
      </c>
      <c r="AD77" s="33">
        <v>0.15079999999999999</v>
      </c>
      <c r="AE77" s="33">
        <v>0.17199999999999999</v>
      </c>
      <c r="AF77" s="33">
        <v>0.3926</v>
      </c>
      <c r="AG77" s="33">
        <v>0.43330000000000002</v>
      </c>
      <c r="AH77" s="33">
        <v>0.47810000000000002</v>
      </c>
      <c r="AI77" s="32">
        <v>2.8475999999999999</v>
      </c>
      <c r="AJ77" s="33">
        <v>0.15229999999999999</v>
      </c>
      <c r="AK77" s="33">
        <v>0.1736</v>
      </c>
      <c r="AL77" s="33">
        <v>0.43359999999999999</v>
      </c>
      <c r="AM77" s="33">
        <v>0.47810000000000002</v>
      </c>
      <c r="AN77" s="33">
        <v>0.3931</v>
      </c>
    </row>
    <row r="78" spans="1:42">
      <c r="A78" s="29" t="s">
        <v>106</v>
      </c>
      <c r="B78" s="10">
        <v>2</v>
      </c>
      <c r="C78" s="29" t="s">
        <v>89</v>
      </c>
      <c r="D78" s="30">
        <v>598419.5</v>
      </c>
      <c r="E78" s="30">
        <v>5852792.0999999996</v>
      </c>
      <c r="F78" s="31">
        <v>29</v>
      </c>
      <c r="H78" s="29" t="s">
        <v>113</v>
      </c>
      <c r="I78" s="27" t="s">
        <v>60</v>
      </c>
      <c r="J78" s="31">
        <v>2.04</v>
      </c>
      <c r="K78" s="31">
        <v>2.81</v>
      </c>
      <c r="L78" s="17">
        <f>F78+J78</f>
        <v>31.04</v>
      </c>
      <c r="M78" s="16">
        <f>F78+K78</f>
        <v>31.81</v>
      </c>
      <c r="N78" s="12">
        <f>(L78+M78)/2</f>
        <v>31.424999999999997</v>
      </c>
      <c r="O78" s="11">
        <f>ROUND(N78,0)</f>
        <v>31</v>
      </c>
      <c r="P78" s="13">
        <v>2</v>
      </c>
      <c r="Q78" s="13">
        <f>K78</f>
        <v>2.81</v>
      </c>
      <c r="R78" s="13">
        <f>P78+F78</f>
        <v>31</v>
      </c>
      <c r="S78" s="13">
        <f>F78+Q78</f>
        <v>31.81</v>
      </c>
      <c r="T78" s="13">
        <f>(R78+S78)/2</f>
        <v>31.405000000000001</v>
      </c>
      <c r="U78" s="14">
        <f>ROUND(T78,0)</f>
        <v>31</v>
      </c>
      <c r="V78" s="34">
        <v>0</v>
      </c>
      <c r="W78" s="31">
        <v>99.2</v>
      </c>
      <c r="X78" s="31">
        <v>0.8</v>
      </c>
      <c r="Y78" s="31">
        <v>0.69</v>
      </c>
      <c r="Z78" s="31">
        <v>0.37</v>
      </c>
      <c r="AA78" s="34">
        <v>0.8</v>
      </c>
      <c r="AB78" s="31">
        <v>0.48</v>
      </c>
      <c r="AC78" s="32">
        <v>2.4533999999999998</v>
      </c>
      <c r="AD78" s="33">
        <v>0.1396</v>
      </c>
      <c r="AE78" s="33">
        <v>0.1522</v>
      </c>
      <c r="AF78" s="33">
        <v>0.29509999999999997</v>
      </c>
      <c r="AG78" s="33">
        <v>0.34239999999999998</v>
      </c>
      <c r="AH78" s="33">
        <v>0.38619999999999999</v>
      </c>
      <c r="AI78" s="32">
        <v>2.4420999999999999</v>
      </c>
      <c r="AJ78" s="33">
        <v>0.1406</v>
      </c>
      <c r="AK78" s="33">
        <v>0.1532</v>
      </c>
      <c r="AL78" s="33">
        <v>0.34339999999999998</v>
      </c>
      <c r="AM78" s="33">
        <v>0.38679999999999998</v>
      </c>
      <c r="AN78" s="33">
        <v>0.29620000000000002</v>
      </c>
    </row>
    <row r="79" spans="1:42">
      <c r="A79" s="29" t="s">
        <v>106</v>
      </c>
      <c r="B79" s="10">
        <v>2</v>
      </c>
      <c r="C79" s="29" t="s">
        <v>89</v>
      </c>
      <c r="D79" s="30">
        <v>598419.5</v>
      </c>
      <c r="E79" s="30">
        <v>5852792.0999999996</v>
      </c>
      <c r="F79" s="31">
        <v>29</v>
      </c>
      <c r="H79" s="29" t="s">
        <v>116</v>
      </c>
      <c r="I79" s="27" t="s">
        <v>63</v>
      </c>
      <c r="J79" s="31">
        <v>3.05</v>
      </c>
      <c r="K79" s="31">
        <v>4</v>
      </c>
      <c r="L79" s="17">
        <f>F79+J79</f>
        <v>32.049999999999997</v>
      </c>
      <c r="M79" s="16">
        <f>F79+K79</f>
        <v>33</v>
      </c>
      <c r="N79" s="12">
        <f>(L79+M79)/2</f>
        <v>32.524999999999999</v>
      </c>
      <c r="O79" s="11">
        <f>ROUND(N79,0)</f>
        <v>33</v>
      </c>
      <c r="P79" s="13">
        <v>3</v>
      </c>
      <c r="Q79" s="13">
        <f>K79</f>
        <v>4</v>
      </c>
      <c r="R79" s="13">
        <f>P79+F79</f>
        <v>32</v>
      </c>
      <c r="S79" s="13">
        <f>F79+Q79</f>
        <v>33</v>
      </c>
      <c r="T79" s="13">
        <f>(R79+S79)/2</f>
        <v>32.5</v>
      </c>
      <c r="U79" s="14">
        <f>ROUND(T79,0)</f>
        <v>33</v>
      </c>
      <c r="V79" s="34">
        <v>0.96</v>
      </c>
      <c r="W79" s="31">
        <v>98.31</v>
      </c>
      <c r="X79" s="31">
        <v>0.73</v>
      </c>
      <c r="Y79" s="31">
        <v>0.44</v>
      </c>
      <c r="Z79" s="31">
        <v>0.28999999999999998</v>
      </c>
      <c r="AA79" s="34">
        <v>0.73</v>
      </c>
      <c r="AB79" s="31">
        <v>0.57999999999999996</v>
      </c>
      <c r="AC79" s="32">
        <v>2.1916000000000002</v>
      </c>
      <c r="AD79" s="33">
        <v>0.17419999999999999</v>
      </c>
      <c r="AE79" s="33">
        <v>0.20280000000000001</v>
      </c>
      <c r="AF79" s="33">
        <v>0.33829999999999999</v>
      </c>
      <c r="AG79" s="33">
        <v>0.38179999999999997</v>
      </c>
      <c r="AH79" s="33">
        <v>0.43480000000000002</v>
      </c>
      <c r="AI79" s="32">
        <v>2.1398000000000001</v>
      </c>
      <c r="AJ79" s="33">
        <v>0.17760000000000001</v>
      </c>
      <c r="AK79" s="33">
        <v>0.20480000000000001</v>
      </c>
      <c r="AL79" s="33">
        <v>0.38009999999999999</v>
      </c>
      <c r="AM79" s="33">
        <v>0.43190000000000001</v>
      </c>
      <c r="AN79" s="33">
        <v>0.33760000000000001</v>
      </c>
    </row>
    <row r="80" spans="1:42">
      <c r="A80" s="29" t="s">
        <v>106</v>
      </c>
      <c r="B80" s="10">
        <v>2</v>
      </c>
      <c r="C80" s="29" t="s">
        <v>89</v>
      </c>
      <c r="D80" s="30">
        <v>598419.5</v>
      </c>
      <c r="E80" s="30">
        <v>5852792.0999999996</v>
      </c>
      <c r="F80" s="31">
        <v>29</v>
      </c>
      <c r="H80" s="29" t="s">
        <v>117</v>
      </c>
      <c r="I80" s="27" t="s">
        <v>62</v>
      </c>
      <c r="J80" s="31">
        <v>4.04</v>
      </c>
      <c r="K80" s="31">
        <v>5</v>
      </c>
      <c r="L80" s="17">
        <f>F80+J80</f>
        <v>33.04</v>
      </c>
      <c r="M80" s="16">
        <f>F80+K80</f>
        <v>34</v>
      </c>
      <c r="N80" s="12">
        <f>(L80+M80)/2</f>
        <v>33.519999999999996</v>
      </c>
      <c r="O80" s="11">
        <f>ROUND(N80,0)</f>
        <v>34</v>
      </c>
      <c r="P80" s="13">
        <f>J80</f>
        <v>4.04</v>
      </c>
      <c r="Q80" s="13">
        <v>5.65</v>
      </c>
      <c r="R80" s="13">
        <f>P80+F80</f>
        <v>33.04</v>
      </c>
      <c r="S80" s="13">
        <f>F80+Q80</f>
        <v>34.65</v>
      </c>
      <c r="T80" s="13">
        <f>(R80+S80)/2</f>
        <v>33.844999999999999</v>
      </c>
      <c r="U80" s="14">
        <f>ROUND(T80,0)</f>
        <v>34</v>
      </c>
      <c r="V80" s="34">
        <v>0</v>
      </c>
      <c r="W80" s="31">
        <v>99.46</v>
      </c>
      <c r="X80" s="31">
        <v>0.54</v>
      </c>
      <c r="Y80" s="31">
        <v>0.52</v>
      </c>
      <c r="Z80" s="31">
        <v>0.26</v>
      </c>
      <c r="AA80" s="34">
        <v>0.54</v>
      </c>
      <c r="AB80" s="31">
        <v>0.28999999999999998</v>
      </c>
      <c r="AC80" s="32">
        <v>1.6165</v>
      </c>
      <c r="AD80" s="33">
        <v>0.19700000000000001</v>
      </c>
      <c r="AE80" s="33">
        <v>0.22159999999999999</v>
      </c>
      <c r="AF80" s="33">
        <v>0.29970000000000002</v>
      </c>
      <c r="AG80" s="33">
        <v>0.31840000000000002</v>
      </c>
      <c r="AH80" s="33">
        <v>0.33829999999999999</v>
      </c>
      <c r="AI80" s="32">
        <v>1.6077999999999999</v>
      </c>
      <c r="AJ80" s="33">
        <v>0.19819999999999999</v>
      </c>
      <c r="AK80" s="33">
        <v>0.22289999999999999</v>
      </c>
      <c r="AL80" s="33">
        <v>0.31859999999999999</v>
      </c>
      <c r="AM80" s="33">
        <v>0.33850000000000002</v>
      </c>
      <c r="AN80" s="33">
        <v>0.2999</v>
      </c>
    </row>
    <row r="81" spans="1:42">
      <c r="A81" s="29" t="s">
        <v>107</v>
      </c>
      <c r="B81" s="10">
        <v>2</v>
      </c>
      <c r="C81" s="29" t="s">
        <v>90</v>
      </c>
      <c r="D81" s="30">
        <v>598699.6</v>
      </c>
      <c r="E81" s="30">
        <v>5852493.2999999998</v>
      </c>
      <c r="F81" s="31">
        <v>24.3</v>
      </c>
      <c r="H81" s="29" t="s">
        <v>111</v>
      </c>
      <c r="I81" s="27" t="s">
        <v>65</v>
      </c>
      <c r="J81" s="31">
        <v>0.12</v>
      </c>
      <c r="K81" s="31">
        <v>0.68</v>
      </c>
      <c r="L81" s="17">
        <f>F81+J81</f>
        <v>24.42</v>
      </c>
      <c r="M81" s="16">
        <f>F81+K81</f>
        <v>24.98</v>
      </c>
      <c r="N81" s="12">
        <f>(L81+M81)/2</f>
        <v>24.700000000000003</v>
      </c>
      <c r="O81" s="11">
        <f>ROUND(N81,0)</f>
        <v>25</v>
      </c>
      <c r="P81" s="13">
        <v>0</v>
      </c>
      <c r="Q81" s="13">
        <f>K81</f>
        <v>0.68</v>
      </c>
      <c r="R81" s="13">
        <f>P81+F81</f>
        <v>24.3</v>
      </c>
      <c r="S81" s="13">
        <f>F81+Q81</f>
        <v>24.98</v>
      </c>
      <c r="T81" s="13">
        <f>(R81+S81)/2</f>
        <v>24.64</v>
      </c>
      <c r="U81" s="14">
        <f>ROUND(T81,0)</f>
        <v>25</v>
      </c>
      <c r="V81" s="34">
        <v>2.79</v>
      </c>
      <c r="W81" s="31">
        <v>94.72</v>
      </c>
      <c r="X81" s="31">
        <v>2.4900000000000002</v>
      </c>
      <c r="Y81" s="31">
        <v>1.98</v>
      </c>
      <c r="Z81" s="31">
        <v>1.68</v>
      </c>
      <c r="AA81" s="34">
        <v>2.4900000000000002</v>
      </c>
      <c r="AB81" s="31">
        <v>2.19</v>
      </c>
      <c r="AC81" s="32">
        <v>1.8967000000000001</v>
      </c>
      <c r="AD81" s="33">
        <v>0.1447</v>
      </c>
      <c r="AE81" s="33">
        <v>0.1648</v>
      </c>
      <c r="AF81" s="33">
        <v>0.24229999999999999</v>
      </c>
      <c r="AG81" s="33">
        <v>0.27439999999999998</v>
      </c>
      <c r="AH81" s="33">
        <v>0.31540000000000001</v>
      </c>
      <c r="AI81" s="32">
        <v>1.7945</v>
      </c>
      <c r="AJ81" s="33">
        <v>0.1512</v>
      </c>
      <c r="AK81" s="33">
        <v>0.17119999999999999</v>
      </c>
      <c r="AL81" s="33">
        <v>0.27129999999999999</v>
      </c>
      <c r="AM81" s="33">
        <v>0.30980000000000002</v>
      </c>
      <c r="AN81" s="33">
        <v>0.24160000000000001</v>
      </c>
    </row>
    <row r="82" spans="1:42">
      <c r="A82" s="29" t="s">
        <v>107</v>
      </c>
      <c r="B82" s="10">
        <v>2</v>
      </c>
      <c r="C82" s="29" t="s">
        <v>90</v>
      </c>
      <c r="D82" s="30">
        <v>598699.6</v>
      </c>
      <c r="E82" s="30">
        <v>5852493.2999999998</v>
      </c>
      <c r="F82" s="31">
        <v>24.3</v>
      </c>
      <c r="H82" s="29" t="s">
        <v>111</v>
      </c>
      <c r="I82" s="27" t="s">
        <v>58</v>
      </c>
      <c r="J82" s="31">
        <v>0.68</v>
      </c>
      <c r="K82" s="31">
        <v>1</v>
      </c>
      <c r="L82" s="17">
        <f>F82+J82</f>
        <v>24.98</v>
      </c>
      <c r="M82" s="16">
        <f>F82+K82</f>
        <v>25.3</v>
      </c>
      <c r="N82" s="12">
        <f>(L82+M82)/2</f>
        <v>25.14</v>
      </c>
      <c r="O82" s="11">
        <f>ROUND(N82,0)</f>
        <v>25</v>
      </c>
      <c r="P82" s="13">
        <f>J82</f>
        <v>0.68</v>
      </c>
      <c r="Q82" s="13">
        <f>K82</f>
        <v>1</v>
      </c>
      <c r="R82" s="13">
        <f>P82+F82</f>
        <v>24.98</v>
      </c>
      <c r="S82" s="13">
        <f>F82+Q82</f>
        <v>25.3</v>
      </c>
      <c r="T82" s="13">
        <f>(R82+S82)/2</f>
        <v>25.14</v>
      </c>
      <c r="U82" s="14">
        <f>ROUND(T82,0)</f>
        <v>25</v>
      </c>
      <c r="V82" s="34">
        <v>0.03</v>
      </c>
      <c r="W82" s="31">
        <v>98.6</v>
      </c>
      <c r="X82" s="31">
        <v>1.37</v>
      </c>
      <c r="Y82" s="31">
        <v>1.1299999999999999</v>
      </c>
      <c r="Z82" s="31">
        <v>0.64</v>
      </c>
      <c r="AA82" s="34">
        <v>1.37</v>
      </c>
      <c r="AB82" s="31">
        <v>0.88</v>
      </c>
      <c r="AC82" s="32">
        <v>2.0085999999999999</v>
      </c>
      <c r="AD82" s="33">
        <v>0.15240000000000001</v>
      </c>
      <c r="AE82" s="33">
        <v>0.1802</v>
      </c>
      <c r="AF82" s="33">
        <v>0.28299999999999997</v>
      </c>
      <c r="AG82" s="33">
        <v>0.30620000000000003</v>
      </c>
      <c r="AH82" s="33">
        <v>0.33119999999999999</v>
      </c>
      <c r="AI82" s="32">
        <v>1.9612000000000001</v>
      </c>
      <c r="AJ82" s="33">
        <v>0.1565</v>
      </c>
      <c r="AK82" s="33">
        <v>0.1825</v>
      </c>
      <c r="AL82" s="33">
        <v>0.307</v>
      </c>
      <c r="AM82" s="33">
        <v>0.33179999999999998</v>
      </c>
      <c r="AN82" s="33">
        <v>0.28399999999999997</v>
      </c>
    </row>
    <row r="83" spans="1:42">
      <c r="A83" s="29" t="s">
        <v>107</v>
      </c>
      <c r="B83" s="10">
        <v>2</v>
      </c>
      <c r="C83" s="29" t="s">
        <v>90</v>
      </c>
      <c r="D83" s="30">
        <v>598699.6</v>
      </c>
      <c r="E83" s="30">
        <v>5852493.2999999998</v>
      </c>
      <c r="F83" s="31">
        <v>24.3</v>
      </c>
      <c r="H83" s="29" t="s">
        <v>112</v>
      </c>
      <c r="I83" s="27" t="s">
        <v>59</v>
      </c>
      <c r="J83" s="31">
        <v>1.03</v>
      </c>
      <c r="K83" s="31">
        <v>2</v>
      </c>
      <c r="L83" s="17">
        <f>F83+J83</f>
        <v>25.330000000000002</v>
      </c>
      <c r="M83" s="16">
        <f>F83+K83</f>
        <v>26.3</v>
      </c>
      <c r="N83" s="12">
        <f>(L83+M83)/2</f>
        <v>25.815000000000001</v>
      </c>
      <c r="O83" s="11">
        <f>ROUND(N83,0)</f>
        <v>26</v>
      </c>
      <c r="P83" s="13">
        <v>1</v>
      </c>
      <c r="Q83" s="13">
        <f>K83</f>
        <v>2</v>
      </c>
      <c r="R83" s="13">
        <f>P83+F83</f>
        <v>25.3</v>
      </c>
      <c r="S83" s="13">
        <f>F83+Q83</f>
        <v>26.3</v>
      </c>
      <c r="T83" s="13">
        <f>(R83+S83)/2</f>
        <v>25.8</v>
      </c>
      <c r="U83" s="14">
        <f>ROUND(T83,0)</f>
        <v>26</v>
      </c>
      <c r="V83" s="34">
        <v>0.01</v>
      </c>
      <c r="W83" s="31">
        <v>99.25</v>
      </c>
      <c r="X83" s="31">
        <v>0.74</v>
      </c>
      <c r="Y83" s="31">
        <v>0.74</v>
      </c>
      <c r="Z83" s="31">
        <v>0.39</v>
      </c>
      <c r="AA83" s="34">
        <v>0.74</v>
      </c>
      <c r="AB83" s="31">
        <v>0.39</v>
      </c>
      <c r="AC83" s="32">
        <v>1.6632</v>
      </c>
      <c r="AD83" s="33">
        <v>0.18090000000000001</v>
      </c>
      <c r="AE83" s="33">
        <v>0.1946</v>
      </c>
      <c r="AF83" s="33">
        <v>0.28149999999999997</v>
      </c>
      <c r="AG83" s="33">
        <v>0.3009</v>
      </c>
      <c r="AH83" s="33">
        <v>0.32169999999999999</v>
      </c>
      <c r="AI83" s="32">
        <v>1.6564000000000001</v>
      </c>
      <c r="AJ83" s="33">
        <v>0.18190000000000001</v>
      </c>
      <c r="AK83" s="33">
        <v>0.1956</v>
      </c>
      <c r="AL83" s="33">
        <v>0.30120000000000002</v>
      </c>
      <c r="AM83" s="33">
        <v>0.32190000000000002</v>
      </c>
      <c r="AN83" s="33">
        <v>0.28189999999999998</v>
      </c>
    </row>
    <row r="84" spans="1:42">
      <c r="A84" s="29" t="s">
        <v>107</v>
      </c>
      <c r="B84" s="10">
        <v>2</v>
      </c>
      <c r="C84" s="29" t="s">
        <v>90</v>
      </c>
      <c r="D84" s="30">
        <v>598699.6</v>
      </c>
      <c r="E84" s="30">
        <v>5852493.2999999998</v>
      </c>
      <c r="F84" s="31">
        <v>24.3</v>
      </c>
      <c r="H84" s="29" t="s">
        <v>113</v>
      </c>
      <c r="I84" s="27" t="s">
        <v>60</v>
      </c>
      <c r="J84" s="31">
        <v>2.0299999999999998</v>
      </c>
      <c r="K84" s="31">
        <v>3</v>
      </c>
      <c r="L84" s="17">
        <f>F84+J84</f>
        <v>26.330000000000002</v>
      </c>
      <c r="M84" s="16">
        <f>F84+K84</f>
        <v>27.3</v>
      </c>
      <c r="N84" s="12">
        <f>(L84+M84)/2</f>
        <v>26.815000000000001</v>
      </c>
      <c r="O84" s="11">
        <f>ROUND(N84,0)</f>
        <v>27</v>
      </c>
      <c r="P84" s="13">
        <v>2</v>
      </c>
      <c r="Q84" s="13">
        <f>K84</f>
        <v>3</v>
      </c>
      <c r="R84" s="13">
        <f>P84+F84</f>
        <v>26.3</v>
      </c>
      <c r="S84" s="13">
        <f>F84+Q84</f>
        <v>27.3</v>
      </c>
      <c r="T84" s="13">
        <f>(R84+S84)/2</f>
        <v>26.8</v>
      </c>
      <c r="U84" s="14">
        <f>ROUND(T84,0)</f>
        <v>27</v>
      </c>
      <c r="V84" s="34">
        <v>0</v>
      </c>
      <c r="W84" s="31">
        <v>98.86</v>
      </c>
      <c r="X84" s="31">
        <v>1.1399999999999999</v>
      </c>
      <c r="Y84" s="31">
        <v>0.91</v>
      </c>
      <c r="Z84" s="31">
        <v>0.52</v>
      </c>
      <c r="AA84" s="34">
        <v>1.1399999999999999</v>
      </c>
      <c r="AB84" s="31">
        <v>0.75</v>
      </c>
      <c r="AC84" s="32">
        <v>1.6165</v>
      </c>
      <c r="AD84" s="33">
        <v>0.13550000000000001</v>
      </c>
      <c r="AE84" s="33">
        <v>0.14449999999999999</v>
      </c>
      <c r="AF84" s="33">
        <v>0.20419999999999999</v>
      </c>
      <c r="AG84" s="33">
        <v>0.219</v>
      </c>
      <c r="AH84" s="33">
        <v>0.2349</v>
      </c>
      <c r="AI84" s="32">
        <v>1.6059000000000001</v>
      </c>
      <c r="AJ84" s="33">
        <v>0.13669999999999999</v>
      </c>
      <c r="AK84" s="33">
        <v>0.1457</v>
      </c>
      <c r="AL84" s="33">
        <v>0.2195</v>
      </c>
      <c r="AM84" s="33">
        <v>0.23530000000000001</v>
      </c>
      <c r="AN84" s="33">
        <v>0.20469999999999999</v>
      </c>
    </row>
    <row r="85" spans="1:42">
      <c r="A85" s="29" t="s">
        <v>107</v>
      </c>
      <c r="B85" s="10">
        <v>2</v>
      </c>
      <c r="C85" s="29" t="s">
        <v>90</v>
      </c>
      <c r="D85" s="30">
        <v>598699.6</v>
      </c>
      <c r="E85" s="30">
        <v>5852493.2999999998</v>
      </c>
      <c r="F85" s="31">
        <v>24.3</v>
      </c>
      <c r="H85" s="29" t="s">
        <v>116</v>
      </c>
      <c r="I85" s="27" t="s">
        <v>61</v>
      </c>
      <c r="J85" s="31">
        <v>3.03</v>
      </c>
      <c r="K85" s="31">
        <v>4</v>
      </c>
      <c r="L85" s="17">
        <f>F85+J85</f>
        <v>27.330000000000002</v>
      </c>
      <c r="M85" s="16">
        <f>F85+K85</f>
        <v>28.3</v>
      </c>
      <c r="N85" s="12">
        <f>(L85+M85)/2</f>
        <v>27.815000000000001</v>
      </c>
      <c r="O85" s="11">
        <f>ROUND(N85,0)</f>
        <v>28</v>
      </c>
      <c r="P85" s="13">
        <v>3</v>
      </c>
      <c r="Q85" s="13">
        <v>4.75</v>
      </c>
      <c r="R85" s="13">
        <f>P85+F85</f>
        <v>27.3</v>
      </c>
      <c r="S85" s="13">
        <f>F85+Q85</f>
        <v>29.05</v>
      </c>
      <c r="T85" s="13">
        <f>(R85+S85)/2</f>
        <v>28.175000000000001</v>
      </c>
      <c r="U85" s="14">
        <f>ROUND(T85,0)</f>
        <v>28</v>
      </c>
      <c r="V85" s="34">
        <v>0</v>
      </c>
      <c r="W85" s="31">
        <v>99.16</v>
      </c>
      <c r="X85" s="31">
        <v>0.84</v>
      </c>
      <c r="Y85" s="31">
        <v>0.83</v>
      </c>
      <c r="Z85" s="31">
        <v>0.51</v>
      </c>
      <c r="AA85" s="34">
        <v>0.84</v>
      </c>
      <c r="AB85" s="31">
        <v>0.52</v>
      </c>
      <c r="AC85" s="32">
        <v>1.5387999999999999</v>
      </c>
      <c r="AD85" s="33">
        <v>0.13389999999999999</v>
      </c>
      <c r="AE85" s="33">
        <v>0.1409</v>
      </c>
      <c r="AF85" s="33">
        <v>0.19320000000000001</v>
      </c>
      <c r="AG85" s="33">
        <v>0.20599999999999999</v>
      </c>
      <c r="AH85" s="33">
        <v>0.21970000000000001</v>
      </c>
      <c r="AI85" s="32">
        <v>1.5335000000000001</v>
      </c>
      <c r="AJ85" s="33">
        <v>0.13450000000000001</v>
      </c>
      <c r="AK85" s="33">
        <v>0.14149999999999999</v>
      </c>
      <c r="AL85" s="33">
        <v>0.20630000000000001</v>
      </c>
      <c r="AM85" s="33">
        <v>0.21990000000000001</v>
      </c>
      <c r="AN85" s="33">
        <v>0.19350000000000001</v>
      </c>
    </row>
    <row r="86" spans="1:42">
      <c r="A86" s="29" t="s">
        <v>107</v>
      </c>
      <c r="B86" s="10">
        <v>2</v>
      </c>
      <c r="C86" s="29" t="s">
        <v>90</v>
      </c>
      <c r="D86" s="30">
        <v>598699.6</v>
      </c>
      <c r="E86" s="30">
        <v>5852493.2999999998</v>
      </c>
      <c r="F86" s="31">
        <v>24.3</v>
      </c>
      <c r="H86" s="29" t="s">
        <v>118</v>
      </c>
      <c r="I86" s="27" t="s">
        <v>62</v>
      </c>
      <c r="J86" s="31">
        <v>5.12</v>
      </c>
      <c r="K86" s="31">
        <v>5.95</v>
      </c>
      <c r="L86" s="17">
        <f>F86+J86</f>
        <v>29.42</v>
      </c>
      <c r="M86" s="16">
        <f>F86+K86</f>
        <v>30.25</v>
      </c>
      <c r="N86" s="12">
        <f>(L86+M86)/2</f>
        <v>29.835000000000001</v>
      </c>
      <c r="O86" s="11">
        <f>ROUND(N86,0)</f>
        <v>30</v>
      </c>
      <c r="P86" s="13">
        <v>4.75</v>
      </c>
      <c r="Q86" s="13">
        <f>K86</f>
        <v>5.95</v>
      </c>
      <c r="R86" s="13">
        <f>P86+F86</f>
        <v>29.05</v>
      </c>
      <c r="S86" s="13">
        <f>F86+Q86</f>
        <v>30.25</v>
      </c>
      <c r="T86" s="13">
        <f>(R86+S86)/2</f>
        <v>29.65</v>
      </c>
      <c r="U86" s="14">
        <f>ROUND(T86,0)</f>
        <v>30</v>
      </c>
      <c r="V86" s="34">
        <v>0.35</v>
      </c>
      <c r="W86" s="31">
        <v>98.88</v>
      </c>
      <c r="X86" s="31">
        <v>0.77</v>
      </c>
      <c r="Y86" s="31">
        <v>0.57999999999999996</v>
      </c>
      <c r="Z86" s="31">
        <v>0.34</v>
      </c>
      <c r="AA86" s="34">
        <v>0.77</v>
      </c>
      <c r="AB86" s="31">
        <v>0.53</v>
      </c>
      <c r="AC86" s="32">
        <v>2.1318000000000001</v>
      </c>
      <c r="AD86" s="33">
        <v>0.1605</v>
      </c>
      <c r="AE86" s="33">
        <v>0.1845</v>
      </c>
      <c r="AF86" s="33">
        <v>0.30409999999999998</v>
      </c>
      <c r="AG86" s="33">
        <v>0.3422</v>
      </c>
      <c r="AH86" s="33">
        <v>0.38519999999999999</v>
      </c>
      <c r="AI86" s="32">
        <v>2.1012</v>
      </c>
      <c r="AJ86" s="33">
        <v>0.1628</v>
      </c>
      <c r="AK86" s="33">
        <v>0.1857</v>
      </c>
      <c r="AL86" s="33">
        <v>0.3422</v>
      </c>
      <c r="AM86" s="33">
        <v>0.38479999999999998</v>
      </c>
      <c r="AN86" s="33">
        <v>0.3044</v>
      </c>
    </row>
    <row r="87" spans="1:42">
      <c r="A87" s="29" t="s">
        <v>108</v>
      </c>
      <c r="B87" s="10">
        <v>2</v>
      </c>
      <c r="C87" s="29" t="s">
        <v>91</v>
      </c>
      <c r="D87" s="30">
        <v>597729.19999999995</v>
      </c>
      <c r="E87" s="30">
        <v>5853479</v>
      </c>
      <c r="F87" s="31">
        <v>24.3</v>
      </c>
      <c r="H87" s="29" t="s">
        <v>111</v>
      </c>
      <c r="I87" s="27" t="s">
        <v>65</v>
      </c>
      <c r="J87" s="31">
        <v>0.23</v>
      </c>
      <c r="K87" s="31">
        <v>0.61</v>
      </c>
      <c r="L87" s="17">
        <f>F87+J87</f>
        <v>24.53</v>
      </c>
      <c r="M87" s="16">
        <f>F87+K87</f>
        <v>24.91</v>
      </c>
      <c r="N87" s="12">
        <f>(L87+M87)/2</f>
        <v>24.72</v>
      </c>
      <c r="O87" s="11">
        <f>ROUND(N87,0)</f>
        <v>25</v>
      </c>
      <c r="P87" s="13">
        <v>0</v>
      </c>
      <c r="Q87" s="13">
        <f>K87</f>
        <v>0.61</v>
      </c>
      <c r="R87" s="13">
        <f>P87+F87</f>
        <v>24.3</v>
      </c>
      <c r="S87" s="13">
        <f>F87+Q87</f>
        <v>24.91</v>
      </c>
      <c r="T87" s="13">
        <f>(R87+S87)/2</f>
        <v>24.605</v>
      </c>
      <c r="U87" s="14">
        <f>ROUND(T87,0)</f>
        <v>25</v>
      </c>
      <c r="V87" s="34">
        <v>0.51</v>
      </c>
      <c r="W87" s="31">
        <v>98.24</v>
      </c>
      <c r="X87" s="31">
        <v>1.25</v>
      </c>
      <c r="Y87" s="31">
        <v>0.99</v>
      </c>
      <c r="Z87" s="31">
        <v>0.72</v>
      </c>
      <c r="AA87" s="34">
        <v>1.25</v>
      </c>
      <c r="AB87" s="31">
        <v>0.97</v>
      </c>
      <c r="AC87" s="32">
        <v>1.6149</v>
      </c>
      <c r="AD87" s="33">
        <v>0.1409</v>
      </c>
      <c r="AE87" s="33">
        <v>0.15329999999999999</v>
      </c>
      <c r="AF87" s="33">
        <v>0.21290000000000001</v>
      </c>
      <c r="AG87" s="33">
        <v>0.22750000000000001</v>
      </c>
      <c r="AH87" s="33">
        <v>0.24299999999999999</v>
      </c>
      <c r="AI87" s="32">
        <v>1.5933999999999999</v>
      </c>
      <c r="AJ87" s="33">
        <v>0.14280000000000001</v>
      </c>
      <c r="AK87" s="33">
        <v>0.1552</v>
      </c>
      <c r="AL87" s="33">
        <v>0.2276</v>
      </c>
      <c r="AM87" s="33">
        <v>0.2429</v>
      </c>
      <c r="AN87" s="33">
        <v>0.21329999999999999</v>
      </c>
    </row>
    <row r="88" spans="1:42">
      <c r="A88" s="29" t="s">
        <v>108</v>
      </c>
      <c r="B88" s="10">
        <v>2</v>
      </c>
      <c r="C88" s="29" t="s">
        <v>91</v>
      </c>
      <c r="D88" s="30">
        <v>597729.19999999995</v>
      </c>
      <c r="E88" s="30">
        <v>5853479</v>
      </c>
      <c r="F88" s="31">
        <v>24.3</v>
      </c>
      <c r="H88" s="29" t="s">
        <v>111</v>
      </c>
      <c r="I88" s="27" t="s">
        <v>58</v>
      </c>
      <c r="J88" s="31">
        <v>0.61</v>
      </c>
      <c r="K88" s="31">
        <v>1</v>
      </c>
      <c r="L88" s="17">
        <f>F88+J88</f>
        <v>24.91</v>
      </c>
      <c r="M88" s="16">
        <f>F88+K88</f>
        <v>25.3</v>
      </c>
      <c r="N88" s="12">
        <f>(L88+M88)/2</f>
        <v>25.105</v>
      </c>
      <c r="O88" s="11">
        <f>ROUND(N88,0)</f>
        <v>25</v>
      </c>
      <c r="P88" s="13">
        <f>J88</f>
        <v>0.61</v>
      </c>
      <c r="Q88" s="13">
        <f>K88</f>
        <v>1</v>
      </c>
      <c r="R88" s="13">
        <f>P88+F88</f>
        <v>24.91</v>
      </c>
      <c r="S88" s="13">
        <f>F88+Q88</f>
        <v>25.3</v>
      </c>
      <c r="T88" s="13">
        <f>(R88+S88)/2</f>
        <v>25.105</v>
      </c>
      <c r="U88" s="14">
        <f>ROUND(T88,0)</f>
        <v>25</v>
      </c>
      <c r="V88" s="34">
        <v>0.53</v>
      </c>
      <c r="W88" s="31">
        <v>97.96</v>
      </c>
      <c r="X88" s="31">
        <v>1.52</v>
      </c>
      <c r="Y88" s="31">
        <v>1.4</v>
      </c>
      <c r="Z88" s="31">
        <v>0.8</v>
      </c>
      <c r="AA88" s="34">
        <v>1.52</v>
      </c>
      <c r="AB88" s="31">
        <v>0.91</v>
      </c>
      <c r="AC88" s="32">
        <v>1.607</v>
      </c>
      <c r="AD88" s="33">
        <v>0.14269999999999999</v>
      </c>
      <c r="AE88" s="33">
        <v>0.15629999999999999</v>
      </c>
      <c r="AF88" s="33">
        <v>0.21490000000000001</v>
      </c>
      <c r="AG88" s="33">
        <v>0.2293</v>
      </c>
      <c r="AH88" s="33">
        <v>0.2447</v>
      </c>
      <c r="AI88" s="32">
        <v>1.585</v>
      </c>
      <c r="AJ88" s="33">
        <v>0.1447</v>
      </c>
      <c r="AK88" s="33">
        <v>0.1583</v>
      </c>
      <c r="AL88" s="33">
        <v>0.22939999999999999</v>
      </c>
      <c r="AM88" s="33">
        <v>0.2445</v>
      </c>
      <c r="AN88" s="33">
        <v>0.2152</v>
      </c>
    </row>
    <row r="89" spans="1:42">
      <c r="A89" s="29" t="s">
        <v>108</v>
      </c>
      <c r="B89" s="10">
        <v>2</v>
      </c>
      <c r="C89" s="29" t="s">
        <v>91</v>
      </c>
      <c r="D89" s="30">
        <v>597729.19999999995</v>
      </c>
      <c r="E89" s="30">
        <v>5853479</v>
      </c>
      <c r="F89" s="31">
        <v>24.3</v>
      </c>
      <c r="H89" s="29" t="s">
        <v>112</v>
      </c>
      <c r="I89" s="27" t="s">
        <v>59</v>
      </c>
      <c r="J89" s="31">
        <v>1.1200000000000001</v>
      </c>
      <c r="K89" s="31">
        <v>2</v>
      </c>
      <c r="L89" s="17">
        <f>F89+J89</f>
        <v>25.42</v>
      </c>
      <c r="M89" s="16">
        <f>F89+K89</f>
        <v>26.3</v>
      </c>
      <c r="N89" s="12">
        <f>(L89+M89)/2</f>
        <v>25.86</v>
      </c>
      <c r="O89" s="11">
        <f>ROUND(N89,0)</f>
        <v>26</v>
      </c>
      <c r="P89" s="13">
        <v>1</v>
      </c>
      <c r="Q89" s="13">
        <v>2.38</v>
      </c>
      <c r="R89" s="13">
        <f>P89+F89</f>
        <v>25.3</v>
      </c>
      <c r="S89" s="13">
        <f>F89+Q89</f>
        <v>26.68</v>
      </c>
      <c r="T89" s="13">
        <f>(R89+S89)/2</f>
        <v>25.990000000000002</v>
      </c>
      <c r="U89" s="14">
        <f>ROUND(T89,0)</f>
        <v>26</v>
      </c>
      <c r="V89" s="34">
        <v>1.1200000000000001</v>
      </c>
      <c r="W89" s="31">
        <v>97.31</v>
      </c>
      <c r="X89" s="31">
        <v>1.57</v>
      </c>
      <c r="Y89" s="31">
        <v>1.35</v>
      </c>
      <c r="Z89" s="31">
        <v>0.91</v>
      </c>
      <c r="AA89" s="34">
        <v>1.57</v>
      </c>
      <c r="AB89" s="31">
        <v>1.1399999999999999</v>
      </c>
      <c r="AC89" s="32">
        <v>1.6829000000000001</v>
      </c>
      <c r="AD89" s="33">
        <v>0.13980000000000001</v>
      </c>
      <c r="AE89" s="33">
        <v>0.1522</v>
      </c>
      <c r="AF89" s="33">
        <v>0.218</v>
      </c>
      <c r="AG89" s="33">
        <v>0.23530000000000001</v>
      </c>
      <c r="AH89" s="33">
        <v>0.25940000000000002</v>
      </c>
      <c r="AI89" s="32">
        <v>1.6544000000000001</v>
      </c>
      <c r="AJ89" s="33">
        <v>0.14199999999999999</v>
      </c>
      <c r="AK89" s="33">
        <v>0.1542</v>
      </c>
      <c r="AL89" s="33">
        <v>0.2349</v>
      </c>
      <c r="AM89" s="33">
        <v>0.25740000000000002</v>
      </c>
      <c r="AN89" s="33">
        <v>0.218</v>
      </c>
    </row>
    <row r="90" spans="1:42">
      <c r="A90" s="29" t="s">
        <v>108</v>
      </c>
      <c r="B90" s="10">
        <v>2</v>
      </c>
      <c r="C90" s="29" t="s">
        <v>91</v>
      </c>
      <c r="D90" s="30">
        <v>597729.19999999995</v>
      </c>
      <c r="E90" s="30">
        <v>5853479</v>
      </c>
      <c r="F90" s="31">
        <v>24.3</v>
      </c>
      <c r="H90" s="29" t="s">
        <v>113</v>
      </c>
      <c r="I90" s="27" t="s">
        <v>60</v>
      </c>
      <c r="J90" s="31">
        <v>2.54</v>
      </c>
      <c r="K90" s="31">
        <v>3</v>
      </c>
      <c r="L90" s="17">
        <f>F90+J90</f>
        <v>26.84</v>
      </c>
      <c r="M90" s="16">
        <f>F90+K90</f>
        <v>27.3</v>
      </c>
      <c r="N90" s="12">
        <f>(L90+M90)/2</f>
        <v>27.07</v>
      </c>
      <c r="O90" s="11">
        <f>ROUND(N90,0)</f>
        <v>27</v>
      </c>
      <c r="P90" s="13">
        <v>2.38</v>
      </c>
      <c r="Q90" s="13">
        <f>K90</f>
        <v>3</v>
      </c>
      <c r="R90" s="13">
        <f>P90+F90</f>
        <v>26.68</v>
      </c>
      <c r="S90" s="13">
        <f>F90+Q90</f>
        <v>27.3</v>
      </c>
      <c r="T90" s="13">
        <f>(R90+S90)/2</f>
        <v>26.990000000000002</v>
      </c>
      <c r="U90" s="14">
        <f>ROUND(T90,0)</f>
        <v>27</v>
      </c>
      <c r="V90" s="34">
        <v>0.01</v>
      </c>
      <c r="W90" s="31">
        <v>98.58</v>
      </c>
      <c r="X90" s="31">
        <v>1.41</v>
      </c>
      <c r="Y90" s="31">
        <v>1.02</v>
      </c>
      <c r="Z90" s="31">
        <v>0.52</v>
      </c>
      <c r="AA90" s="34">
        <v>1.41</v>
      </c>
      <c r="AB90" s="31">
        <v>0.92</v>
      </c>
      <c r="AC90" s="32">
        <v>1.8706</v>
      </c>
      <c r="AD90" s="33">
        <v>0.14940000000000001</v>
      </c>
      <c r="AE90" s="33">
        <v>0.1729</v>
      </c>
      <c r="AF90" s="33">
        <v>0.26029999999999998</v>
      </c>
      <c r="AG90" s="33">
        <v>0.27960000000000002</v>
      </c>
      <c r="AH90" s="33">
        <v>0.30030000000000001</v>
      </c>
      <c r="AI90" s="32">
        <v>1.8309</v>
      </c>
      <c r="AJ90" s="33">
        <v>0.15310000000000001</v>
      </c>
      <c r="AK90" s="33">
        <v>0.1769</v>
      </c>
      <c r="AL90" s="33">
        <v>0.28029999999999999</v>
      </c>
      <c r="AM90" s="33">
        <v>0.3009</v>
      </c>
      <c r="AN90" s="33">
        <v>0.2611</v>
      </c>
    </row>
    <row r="91" spans="1:42">
      <c r="A91" s="29" t="s">
        <v>108</v>
      </c>
      <c r="B91" s="10">
        <v>2</v>
      </c>
      <c r="C91" s="29" t="s">
        <v>91</v>
      </c>
      <c r="D91" s="30">
        <v>597729.19999999995</v>
      </c>
      <c r="E91" s="30">
        <v>5853479</v>
      </c>
      <c r="F91" s="31">
        <v>24.3</v>
      </c>
      <c r="H91" s="29" t="s">
        <v>116</v>
      </c>
      <c r="I91" s="27" t="s">
        <v>63</v>
      </c>
      <c r="J91" s="31">
        <v>3.04</v>
      </c>
      <c r="K91" s="31">
        <v>4</v>
      </c>
      <c r="L91" s="17">
        <f>F91+J91</f>
        <v>27.34</v>
      </c>
      <c r="M91" s="16">
        <f>F91+K91</f>
        <v>28.3</v>
      </c>
      <c r="N91" s="12">
        <f>(L91+M91)/2</f>
        <v>27.82</v>
      </c>
      <c r="O91" s="11">
        <f>ROUND(N91,0)</f>
        <v>28</v>
      </c>
      <c r="P91" s="13">
        <v>3</v>
      </c>
      <c r="Q91" s="13">
        <f>K91</f>
        <v>4</v>
      </c>
      <c r="R91" s="13">
        <f>P91+F91</f>
        <v>27.3</v>
      </c>
      <c r="S91" s="13">
        <f>F91+Q91</f>
        <v>28.3</v>
      </c>
      <c r="T91" s="13">
        <f>(R91+S91)/2</f>
        <v>27.8</v>
      </c>
      <c r="U91" s="14">
        <f>ROUND(T91,0)</f>
        <v>28</v>
      </c>
      <c r="V91" s="34">
        <v>0.02</v>
      </c>
      <c r="W91" s="31">
        <v>98.85</v>
      </c>
      <c r="X91" s="31">
        <v>1.1299999999999999</v>
      </c>
      <c r="Y91" s="31">
        <v>0.89</v>
      </c>
      <c r="Z91" s="31">
        <v>0.5</v>
      </c>
      <c r="AA91" s="34">
        <v>1.1299999999999999</v>
      </c>
      <c r="AB91" s="31">
        <v>0.74</v>
      </c>
      <c r="AC91" s="32">
        <v>1.6223000000000001</v>
      </c>
      <c r="AD91" s="33">
        <v>0.14080000000000001</v>
      </c>
      <c r="AE91" s="33">
        <v>0.15340000000000001</v>
      </c>
      <c r="AF91" s="33">
        <v>0.2137</v>
      </c>
      <c r="AG91" s="33">
        <v>0.22839999999999999</v>
      </c>
      <c r="AH91" s="33">
        <v>0.2442</v>
      </c>
      <c r="AI91" s="32">
        <v>1.6071</v>
      </c>
      <c r="AJ91" s="33">
        <v>0.1424</v>
      </c>
      <c r="AK91" s="33">
        <v>0.155</v>
      </c>
      <c r="AL91" s="33">
        <v>0.2288</v>
      </c>
      <c r="AM91" s="33">
        <v>0.2445</v>
      </c>
      <c r="AN91" s="33">
        <v>0.2142</v>
      </c>
      <c r="AO91" s="2"/>
    </row>
    <row r="92" spans="1:42">
      <c r="A92" s="29" t="s">
        <v>108</v>
      </c>
      <c r="B92" s="10">
        <v>2</v>
      </c>
      <c r="C92" s="29" t="s">
        <v>91</v>
      </c>
      <c r="D92" s="30">
        <v>597729.19999999995</v>
      </c>
      <c r="E92" s="30">
        <v>5853479</v>
      </c>
      <c r="F92" s="31">
        <v>24.3</v>
      </c>
      <c r="H92" s="29" t="s">
        <v>117</v>
      </c>
      <c r="I92" s="27" t="s">
        <v>61</v>
      </c>
      <c r="J92" s="31">
        <v>4</v>
      </c>
      <c r="K92" s="31">
        <v>4.92</v>
      </c>
      <c r="L92" s="17">
        <f>F92+J92</f>
        <v>28.3</v>
      </c>
      <c r="M92" s="16">
        <f>F92+K92</f>
        <v>29.22</v>
      </c>
      <c r="N92" s="12">
        <f>(L92+M92)/2</f>
        <v>28.759999999999998</v>
      </c>
      <c r="O92" s="11">
        <f>ROUND(N92,0)</f>
        <v>29</v>
      </c>
      <c r="P92" s="13">
        <f>J92</f>
        <v>4</v>
      </c>
      <c r="Q92" s="13">
        <f>K92</f>
        <v>4.92</v>
      </c>
      <c r="R92" s="13">
        <f>P92+F92</f>
        <v>28.3</v>
      </c>
      <c r="S92" s="13">
        <f>F92+Q92</f>
        <v>29.22</v>
      </c>
      <c r="T92" s="13">
        <f>(R92+S92)/2</f>
        <v>28.759999999999998</v>
      </c>
      <c r="U92" s="14">
        <f>ROUND(T92,0)</f>
        <v>29</v>
      </c>
      <c r="V92" s="34">
        <v>0.19</v>
      </c>
      <c r="W92" s="31">
        <v>98.94</v>
      </c>
      <c r="X92" s="31">
        <v>0.88</v>
      </c>
      <c r="Y92" s="31">
        <v>0.71</v>
      </c>
      <c r="Z92" s="31">
        <v>0.46</v>
      </c>
      <c r="AA92" s="34">
        <v>0.88</v>
      </c>
      <c r="AB92" s="31">
        <v>0.62</v>
      </c>
      <c r="AC92" s="32">
        <v>1.6193</v>
      </c>
      <c r="AD92" s="33">
        <v>0.13780000000000001</v>
      </c>
      <c r="AE92" s="33">
        <v>0.1479</v>
      </c>
      <c r="AF92" s="33">
        <v>0.20830000000000001</v>
      </c>
      <c r="AG92" s="33">
        <v>0.22309999999999999</v>
      </c>
      <c r="AH92" s="33">
        <v>0.23899999999999999</v>
      </c>
      <c r="AI92" s="32">
        <v>1.6084000000000001</v>
      </c>
      <c r="AJ92" s="33">
        <v>0.13880000000000001</v>
      </c>
      <c r="AK92" s="33">
        <v>0.14899999999999999</v>
      </c>
      <c r="AL92" s="33">
        <v>0.2233</v>
      </c>
      <c r="AM92" s="33">
        <v>0.23910000000000001</v>
      </c>
      <c r="AN92" s="33">
        <v>0.20860000000000001</v>
      </c>
      <c r="AP92" s="22"/>
    </row>
    <row r="93" spans="1:42">
      <c r="A93" s="29" t="s">
        <v>109</v>
      </c>
      <c r="B93" s="10">
        <v>2</v>
      </c>
      <c r="C93" s="29" t="s">
        <v>92</v>
      </c>
      <c r="D93" s="30">
        <v>597714</v>
      </c>
      <c r="E93" s="30">
        <v>5852880.4000000004</v>
      </c>
      <c r="F93" s="31">
        <v>24.5</v>
      </c>
      <c r="H93" s="29" t="s">
        <v>111</v>
      </c>
      <c r="I93" s="27" t="s">
        <v>65</v>
      </c>
      <c r="J93" s="31">
        <v>0.12</v>
      </c>
      <c r="K93" s="31">
        <v>0.6</v>
      </c>
      <c r="L93" s="17">
        <f>F93+J93</f>
        <v>24.62</v>
      </c>
      <c r="M93" s="16">
        <f>F93+K93</f>
        <v>25.1</v>
      </c>
      <c r="N93" s="12">
        <f>(L93+M93)/2</f>
        <v>24.86</v>
      </c>
      <c r="O93" s="11">
        <f>ROUND(N93,0)</f>
        <v>25</v>
      </c>
      <c r="P93" s="13">
        <v>0</v>
      </c>
      <c r="Q93" s="13">
        <f>K93</f>
        <v>0.6</v>
      </c>
      <c r="R93" s="13">
        <f>P93+F93</f>
        <v>24.5</v>
      </c>
      <c r="S93" s="13">
        <f>F93+Q93</f>
        <v>25.1</v>
      </c>
      <c r="T93" s="13">
        <f>(R93+S93)/2</f>
        <v>24.8</v>
      </c>
      <c r="U93" s="14">
        <f>ROUND(T93,0)</f>
        <v>25</v>
      </c>
      <c r="V93" s="34">
        <v>0.74</v>
      </c>
      <c r="W93" s="31">
        <v>98.37</v>
      </c>
      <c r="X93" s="31">
        <v>0.89</v>
      </c>
      <c r="Y93" s="31">
        <v>0.77</v>
      </c>
      <c r="Z93" s="31">
        <v>0.64</v>
      </c>
      <c r="AA93" s="34">
        <v>0.89</v>
      </c>
      <c r="AB93" s="31">
        <v>0.77</v>
      </c>
      <c r="AC93" s="32">
        <v>1.6534</v>
      </c>
      <c r="AD93" s="33">
        <v>0.14419999999999999</v>
      </c>
      <c r="AE93" s="33">
        <v>0.15859999999999999</v>
      </c>
      <c r="AF93" s="33">
        <v>0.22159999999999999</v>
      </c>
      <c r="AG93" s="33">
        <v>0.23849999999999999</v>
      </c>
      <c r="AH93" s="33">
        <v>0.26750000000000002</v>
      </c>
      <c r="AI93" s="32">
        <v>1.6325000000000001</v>
      </c>
      <c r="AJ93" s="33">
        <v>0.1459</v>
      </c>
      <c r="AK93" s="33">
        <v>0.16020000000000001</v>
      </c>
      <c r="AL93" s="33">
        <v>0.2382</v>
      </c>
      <c r="AM93" s="33">
        <v>0.2661</v>
      </c>
      <c r="AN93" s="33">
        <v>0.22159999999999999</v>
      </c>
      <c r="AP93" s="22"/>
    </row>
    <row r="94" spans="1:42">
      <c r="A94" s="29" t="s">
        <v>109</v>
      </c>
      <c r="B94" s="10">
        <v>2</v>
      </c>
      <c r="C94" s="29" t="s">
        <v>92</v>
      </c>
      <c r="D94" s="30">
        <v>597714</v>
      </c>
      <c r="E94" s="30">
        <v>5852880.4000000004</v>
      </c>
      <c r="F94" s="31">
        <v>24.5</v>
      </c>
      <c r="H94" s="29" t="s">
        <v>111</v>
      </c>
      <c r="I94" s="27" t="s">
        <v>58</v>
      </c>
      <c r="J94" s="31">
        <v>0.6</v>
      </c>
      <c r="K94" s="31">
        <v>1</v>
      </c>
      <c r="L94" s="17">
        <f>F94+J94</f>
        <v>25.1</v>
      </c>
      <c r="M94" s="16">
        <f>F94+K94</f>
        <v>25.5</v>
      </c>
      <c r="N94" s="12">
        <f>(L94+M94)/2</f>
        <v>25.3</v>
      </c>
      <c r="O94" s="11">
        <f>ROUND(N94,0)</f>
        <v>25</v>
      </c>
      <c r="P94" s="13">
        <f>J94</f>
        <v>0.6</v>
      </c>
      <c r="Q94" s="13">
        <f>K94</f>
        <v>1</v>
      </c>
      <c r="R94" s="13">
        <f>P94+F94</f>
        <v>25.1</v>
      </c>
      <c r="S94" s="13">
        <f>F94+Q94</f>
        <v>25.5</v>
      </c>
      <c r="T94" s="13">
        <f>(R94+S94)/2</f>
        <v>25.3</v>
      </c>
      <c r="U94" s="14">
        <f>ROUND(T94,0)</f>
        <v>25</v>
      </c>
      <c r="V94" s="34">
        <v>0.79</v>
      </c>
      <c r="W94" s="31">
        <v>97.75</v>
      </c>
      <c r="X94" s="31">
        <v>1.46</v>
      </c>
      <c r="Y94" s="31">
        <v>1.31</v>
      </c>
      <c r="Z94" s="31">
        <v>0.82</v>
      </c>
      <c r="AA94" s="34">
        <v>1.46</v>
      </c>
      <c r="AB94" s="31">
        <v>0.97</v>
      </c>
      <c r="AC94" s="32">
        <v>1.6701999999999999</v>
      </c>
      <c r="AD94" s="33">
        <v>0.1406</v>
      </c>
      <c r="AE94" s="33">
        <v>0.1527</v>
      </c>
      <c r="AF94" s="33">
        <v>0.21759999999999999</v>
      </c>
      <c r="AG94" s="33">
        <v>0.23480000000000001</v>
      </c>
      <c r="AH94" s="33">
        <v>0.25729999999999997</v>
      </c>
      <c r="AI94" s="32">
        <v>1.6473</v>
      </c>
      <c r="AJ94" s="33">
        <v>0.1424</v>
      </c>
      <c r="AK94" s="33">
        <v>0.1545</v>
      </c>
      <c r="AL94" s="33">
        <v>0.2346</v>
      </c>
      <c r="AM94" s="33">
        <v>0.25619999999999998</v>
      </c>
      <c r="AN94" s="33">
        <v>0.21779999999999999</v>
      </c>
      <c r="AP94" s="22"/>
    </row>
    <row r="95" spans="1:42">
      <c r="A95" s="29" t="s">
        <v>109</v>
      </c>
      <c r="B95" s="10">
        <v>2</v>
      </c>
      <c r="C95" s="29" t="s">
        <v>92</v>
      </c>
      <c r="D95" s="30">
        <v>597714</v>
      </c>
      <c r="E95" s="30">
        <v>5852880.4000000004</v>
      </c>
      <c r="F95" s="31">
        <v>24.5</v>
      </c>
      <c r="H95" s="29" t="s">
        <v>112</v>
      </c>
      <c r="I95" s="27" t="s">
        <v>60</v>
      </c>
      <c r="J95" s="31">
        <v>1.17</v>
      </c>
      <c r="K95" s="31">
        <v>2</v>
      </c>
      <c r="L95" s="17">
        <f>F95+J95</f>
        <v>25.67</v>
      </c>
      <c r="M95" s="16">
        <f>F95+K95</f>
        <v>26.5</v>
      </c>
      <c r="N95" s="12">
        <f>(L95+M95)/2</f>
        <v>26.085000000000001</v>
      </c>
      <c r="O95" s="11">
        <f>ROUND(N95,0)</f>
        <v>26</v>
      </c>
      <c r="P95" s="13">
        <v>1</v>
      </c>
      <c r="Q95" s="13">
        <v>3.32</v>
      </c>
      <c r="R95" s="13">
        <f>P95+F95</f>
        <v>25.5</v>
      </c>
      <c r="S95" s="13">
        <f>F95+Q95</f>
        <v>27.82</v>
      </c>
      <c r="T95" s="13">
        <f>(R95+S95)/2</f>
        <v>26.66</v>
      </c>
      <c r="U95" s="14">
        <f>ROUND(T95,0)</f>
        <v>27</v>
      </c>
      <c r="V95" s="34">
        <v>0.39</v>
      </c>
      <c r="W95" s="31">
        <v>98.8</v>
      </c>
      <c r="X95" s="31">
        <v>0.82</v>
      </c>
      <c r="Y95" s="31">
        <v>0.81</v>
      </c>
      <c r="Z95" s="31">
        <v>0.52</v>
      </c>
      <c r="AA95" s="34">
        <v>0.82</v>
      </c>
      <c r="AB95" s="31">
        <v>0.52</v>
      </c>
      <c r="AC95" s="32">
        <v>1.6182000000000001</v>
      </c>
      <c r="AD95" s="33">
        <v>0.18770000000000001</v>
      </c>
      <c r="AE95" s="33">
        <v>0.20730000000000001</v>
      </c>
      <c r="AF95" s="33">
        <v>0.28749999999999998</v>
      </c>
      <c r="AG95" s="33">
        <v>0.30370000000000003</v>
      </c>
      <c r="AH95" s="33">
        <v>0.32079999999999997</v>
      </c>
      <c r="AI95" s="32">
        <v>1.6042000000000001</v>
      </c>
      <c r="AJ95" s="33">
        <v>0.1893</v>
      </c>
      <c r="AK95" s="33">
        <v>0.20880000000000001</v>
      </c>
      <c r="AL95" s="33">
        <v>0.30370000000000003</v>
      </c>
      <c r="AM95" s="33">
        <v>0.3206</v>
      </c>
      <c r="AN95" s="33">
        <v>0.28760000000000002</v>
      </c>
      <c r="AP95" s="22"/>
    </row>
    <row r="96" spans="1:42">
      <c r="A96" s="29" t="s">
        <v>109</v>
      </c>
      <c r="B96" s="10">
        <v>2</v>
      </c>
      <c r="C96" s="29" t="s">
        <v>92</v>
      </c>
      <c r="D96" s="30">
        <v>597714</v>
      </c>
      <c r="E96" s="30">
        <v>5852880.4000000004</v>
      </c>
      <c r="F96" s="31">
        <v>24.5</v>
      </c>
      <c r="H96" s="29" t="s">
        <v>116</v>
      </c>
      <c r="I96" s="27" t="s">
        <v>63</v>
      </c>
      <c r="J96" s="31">
        <v>3.32</v>
      </c>
      <c r="K96" s="31">
        <v>4</v>
      </c>
      <c r="L96" s="17">
        <f>F96+J96</f>
        <v>27.82</v>
      </c>
      <c r="M96" s="16">
        <f>F96+K96</f>
        <v>28.5</v>
      </c>
      <c r="N96" s="12">
        <f>(L96+M96)/2</f>
        <v>28.16</v>
      </c>
      <c r="O96" s="11">
        <f>ROUND(N96,0)</f>
        <v>28</v>
      </c>
      <c r="P96" s="13">
        <f>J96</f>
        <v>3.32</v>
      </c>
      <c r="Q96" s="13">
        <f>K96</f>
        <v>4</v>
      </c>
      <c r="R96" s="13">
        <f>P96+F96</f>
        <v>27.82</v>
      </c>
      <c r="S96" s="13">
        <f>F96+Q96</f>
        <v>28.5</v>
      </c>
      <c r="T96" s="13">
        <f>(R96+S96)/2</f>
        <v>28.16</v>
      </c>
      <c r="U96" s="14">
        <f>ROUND(T96,0)</f>
        <v>28</v>
      </c>
      <c r="V96" s="34">
        <v>1</v>
      </c>
      <c r="W96" s="31">
        <v>98.38</v>
      </c>
      <c r="X96" s="31">
        <v>0.61</v>
      </c>
      <c r="Y96" s="31">
        <v>0.49</v>
      </c>
      <c r="Z96" s="31">
        <v>0.32</v>
      </c>
      <c r="AA96" s="34">
        <v>0.61</v>
      </c>
      <c r="AB96" s="31">
        <v>0.45</v>
      </c>
      <c r="AC96" s="32">
        <v>2.1646999999999998</v>
      </c>
      <c r="AD96" s="33">
        <v>0.18609999999999999</v>
      </c>
      <c r="AE96" s="33">
        <v>0.22189999999999999</v>
      </c>
      <c r="AF96" s="33">
        <v>0.36630000000000001</v>
      </c>
      <c r="AG96" s="33">
        <v>0.40289999999999998</v>
      </c>
      <c r="AH96" s="33">
        <v>0.44309999999999999</v>
      </c>
      <c r="AI96" s="32">
        <v>2.1328999999999998</v>
      </c>
      <c r="AJ96" s="33">
        <v>0.18809999999999999</v>
      </c>
      <c r="AK96" s="33">
        <v>0.2238</v>
      </c>
      <c r="AL96" s="33">
        <v>0.4012</v>
      </c>
      <c r="AM96" s="33">
        <v>0.44069999999999998</v>
      </c>
      <c r="AN96" s="33">
        <v>0.36530000000000001</v>
      </c>
    </row>
    <row r="97" spans="1:42">
      <c r="A97" s="29" t="s">
        <v>109</v>
      </c>
      <c r="B97" s="10">
        <v>2</v>
      </c>
      <c r="C97" s="29" t="s">
        <v>92</v>
      </c>
      <c r="D97" s="30">
        <v>597714</v>
      </c>
      <c r="E97" s="30">
        <v>5852880.4000000004</v>
      </c>
      <c r="F97" s="31">
        <v>24.5</v>
      </c>
      <c r="H97" s="29" t="s">
        <v>114</v>
      </c>
      <c r="I97" s="27" t="s">
        <v>61</v>
      </c>
      <c r="J97" s="31">
        <v>4.0999999999999996</v>
      </c>
      <c r="K97" s="31">
        <v>5</v>
      </c>
      <c r="L97" s="17">
        <f>F97+J97</f>
        <v>28.6</v>
      </c>
      <c r="M97" s="16">
        <f>F97+K97</f>
        <v>29.5</v>
      </c>
      <c r="N97" s="12">
        <f>(L97+M97)/2</f>
        <v>29.05</v>
      </c>
      <c r="O97" s="11">
        <f>ROUND(N97,0)</f>
        <v>29</v>
      </c>
      <c r="P97" s="13">
        <v>4</v>
      </c>
      <c r="Q97" s="13">
        <v>5.0999999999999996</v>
      </c>
      <c r="R97" s="13">
        <f>P97+F97</f>
        <v>28.5</v>
      </c>
      <c r="S97" s="13">
        <f>F97+Q97</f>
        <v>29.6</v>
      </c>
      <c r="T97" s="13">
        <f>(R97+S97)/2</f>
        <v>29.05</v>
      </c>
      <c r="U97" s="14">
        <f>ROUND(T97,0)</f>
        <v>29</v>
      </c>
      <c r="V97" s="34">
        <v>0.1</v>
      </c>
      <c r="W97" s="31">
        <v>99.4</v>
      </c>
      <c r="X97" s="31">
        <v>0.5</v>
      </c>
      <c r="Y97" s="31">
        <v>0.38</v>
      </c>
      <c r="Z97" s="31">
        <v>0.28999999999999998</v>
      </c>
      <c r="AA97" s="34">
        <v>0.5</v>
      </c>
      <c r="AB97" s="31">
        <v>0.41</v>
      </c>
      <c r="AC97" s="32">
        <v>2.0223</v>
      </c>
      <c r="AD97" s="33">
        <v>0.1807</v>
      </c>
      <c r="AE97" s="33">
        <v>0.20960000000000001</v>
      </c>
      <c r="AF97" s="33">
        <v>0.33160000000000001</v>
      </c>
      <c r="AG97" s="33">
        <v>0.36549999999999999</v>
      </c>
      <c r="AH97" s="33">
        <v>0.40310000000000001</v>
      </c>
      <c r="AI97" s="32">
        <v>2.0028000000000001</v>
      </c>
      <c r="AJ97" s="33">
        <v>0.1827</v>
      </c>
      <c r="AK97" s="33">
        <v>0.2117</v>
      </c>
      <c r="AL97" s="33">
        <v>0.3659</v>
      </c>
      <c r="AM97" s="33">
        <v>0.40329999999999999</v>
      </c>
      <c r="AN97" s="33">
        <v>0.33210000000000001</v>
      </c>
    </row>
    <row r="98" spans="1:42">
      <c r="A98" s="29" t="s">
        <v>109</v>
      </c>
      <c r="B98" s="10">
        <v>2</v>
      </c>
      <c r="C98" s="29" t="s">
        <v>92</v>
      </c>
      <c r="D98" s="30">
        <v>597714</v>
      </c>
      <c r="E98" s="30">
        <v>5852880.4000000004</v>
      </c>
      <c r="F98" s="31">
        <v>24.5</v>
      </c>
      <c r="H98" s="29" t="s">
        <v>115</v>
      </c>
      <c r="I98" s="27" t="s">
        <v>62</v>
      </c>
      <c r="J98" s="31">
        <v>5</v>
      </c>
      <c r="K98" s="31">
        <v>5.0999999999999996</v>
      </c>
      <c r="L98" s="17">
        <f>F98+J98</f>
        <v>29.5</v>
      </c>
      <c r="M98" s="16">
        <f>F98+K98</f>
        <v>29.6</v>
      </c>
      <c r="N98" s="12">
        <f>(L98+M98)/2</f>
        <v>29.55</v>
      </c>
      <c r="O98" s="11">
        <f>ROUND(N98,0)</f>
        <v>30</v>
      </c>
      <c r="P98" s="13">
        <f>J98</f>
        <v>5</v>
      </c>
      <c r="Q98" s="13">
        <f>K98</f>
        <v>5.0999999999999996</v>
      </c>
      <c r="R98" s="13">
        <f>P98+F98</f>
        <v>29.5</v>
      </c>
      <c r="S98" s="13">
        <f>F98+Q98</f>
        <v>29.6</v>
      </c>
      <c r="T98" s="13">
        <f>(R98+S98)/2</f>
        <v>29.55</v>
      </c>
      <c r="U98" s="14">
        <f>ROUND(T98,0)</f>
        <v>30</v>
      </c>
      <c r="V98" s="34">
        <v>0.02</v>
      </c>
      <c r="W98" s="31">
        <v>98.8</v>
      </c>
      <c r="X98" s="31">
        <v>1.17</v>
      </c>
      <c r="Y98" s="31">
        <v>1.08</v>
      </c>
      <c r="Z98" s="31">
        <v>0.57999999999999996</v>
      </c>
      <c r="AA98" s="34">
        <v>1.17</v>
      </c>
      <c r="AB98" s="31">
        <v>0.68</v>
      </c>
      <c r="AC98" s="32">
        <v>2.1848000000000001</v>
      </c>
      <c r="AD98" s="33">
        <v>0.1429</v>
      </c>
      <c r="AE98" s="33">
        <v>0.16009999999999999</v>
      </c>
      <c r="AF98" s="33">
        <v>0.28389999999999999</v>
      </c>
      <c r="AG98" s="33">
        <v>0.31219999999999998</v>
      </c>
      <c r="AH98" s="33">
        <v>0.34339999999999998</v>
      </c>
      <c r="AI98" s="32">
        <v>2.1598999999999999</v>
      </c>
      <c r="AJ98" s="33">
        <v>0.1449</v>
      </c>
      <c r="AK98" s="33">
        <v>0.16220000000000001</v>
      </c>
      <c r="AL98" s="33">
        <v>0.313</v>
      </c>
      <c r="AM98" s="33">
        <v>0.34399999999999997</v>
      </c>
      <c r="AN98" s="33">
        <v>0.2848</v>
      </c>
    </row>
    <row r="99" spans="1:42">
      <c r="A99" s="29" t="s">
        <v>110</v>
      </c>
      <c r="B99" s="10">
        <v>2</v>
      </c>
      <c r="C99" s="29" t="s">
        <v>93</v>
      </c>
      <c r="D99" s="30">
        <v>598906.69999999995</v>
      </c>
      <c r="E99" s="30">
        <v>5851476</v>
      </c>
      <c r="F99" s="31">
        <v>24.3</v>
      </c>
      <c r="H99" s="29" t="s">
        <v>111</v>
      </c>
      <c r="I99" s="27" t="s">
        <v>65</v>
      </c>
      <c r="J99" s="31">
        <v>0.1</v>
      </c>
      <c r="K99" s="31">
        <v>0.55000000000000004</v>
      </c>
      <c r="L99" s="17">
        <f>F99+J99</f>
        <v>24.400000000000002</v>
      </c>
      <c r="M99" s="16">
        <f>F99+K99</f>
        <v>24.85</v>
      </c>
      <c r="N99" s="12">
        <f>(L99+M99)/2</f>
        <v>24.625</v>
      </c>
      <c r="O99" s="11">
        <f>ROUND(N99,0)</f>
        <v>25</v>
      </c>
      <c r="P99" s="13">
        <v>0</v>
      </c>
      <c r="Q99" s="13">
        <f>K99</f>
        <v>0.55000000000000004</v>
      </c>
      <c r="R99" s="13">
        <f>P99+F99</f>
        <v>24.3</v>
      </c>
      <c r="S99" s="13">
        <f>F99+Q99</f>
        <v>24.85</v>
      </c>
      <c r="T99" s="13">
        <f>(R99+S99)/2</f>
        <v>24.575000000000003</v>
      </c>
      <c r="U99" s="14">
        <f>ROUND(T99,0)</f>
        <v>25</v>
      </c>
      <c r="V99" s="34">
        <v>0.03</v>
      </c>
      <c r="W99" s="31">
        <v>99.07</v>
      </c>
      <c r="X99" s="31">
        <v>0.91</v>
      </c>
      <c r="Y99" s="31">
        <v>0.63</v>
      </c>
      <c r="Z99" s="31">
        <v>0.47</v>
      </c>
      <c r="AA99" s="34">
        <v>0.91</v>
      </c>
      <c r="AB99" s="31">
        <v>0.74</v>
      </c>
      <c r="AC99" s="32">
        <v>1.8102</v>
      </c>
      <c r="AD99" s="33">
        <v>0.14929999999999999</v>
      </c>
      <c r="AE99" s="33">
        <v>0.1696</v>
      </c>
      <c r="AF99" s="33">
        <v>0.24099999999999999</v>
      </c>
      <c r="AG99" s="33">
        <v>0.2702</v>
      </c>
      <c r="AH99" s="33">
        <v>0.30840000000000001</v>
      </c>
      <c r="AI99" s="32">
        <v>1.7863</v>
      </c>
      <c r="AJ99" s="33">
        <v>0.15179999999999999</v>
      </c>
      <c r="AK99" s="33">
        <v>0.1724</v>
      </c>
      <c r="AL99" s="33">
        <v>0.2712</v>
      </c>
      <c r="AM99" s="33">
        <v>0.30919999999999997</v>
      </c>
      <c r="AN99" s="33">
        <v>0.24179999999999999</v>
      </c>
    </row>
    <row r="100" spans="1:42">
      <c r="A100" s="29" t="s">
        <v>110</v>
      </c>
      <c r="B100" s="10">
        <v>2</v>
      </c>
      <c r="C100" s="29" t="s">
        <v>93</v>
      </c>
      <c r="D100" s="30">
        <v>598906.69999999995</v>
      </c>
      <c r="E100" s="30">
        <v>5851476</v>
      </c>
      <c r="F100" s="31">
        <v>24.3</v>
      </c>
      <c r="H100" s="29" t="s">
        <v>111</v>
      </c>
      <c r="I100" s="27" t="s">
        <v>58</v>
      </c>
      <c r="J100" s="31">
        <v>0.55000000000000004</v>
      </c>
      <c r="K100" s="31">
        <v>1</v>
      </c>
      <c r="L100" s="17">
        <f>F100+J100</f>
        <v>24.85</v>
      </c>
      <c r="M100" s="16">
        <f>F100+K100</f>
        <v>25.3</v>
      </c>
      <c r="N100" s="12">
        <f>(L100+M100)/2</f>
        <v>25.075000000000003</v>
      </c>
      <c r="O100" s="11">
        <f>ROUND(N100,0)</f>
        <v>25</v>
      </c>
      <c r="P100" s="13">
        <f>J100</f>
        <v>0.55000000000000004</v>
      </c>
      <c r="Q100" s="13">
        <f>K100</f>
        <v>1</v>
      </c>
      <c r="R100" s="13">
        <f>P100+F100</f>
        <v>24.85</v>
      </c>
      <c r="S100" s="13">
        <f>F100+Q100</f>
        <v>25.3</v>
      </c>
      <c r="T100" s="13">
        <f>(R100+S100)/2</f>
        <v>25.075000000000003</v>
      </c>
      <c r="U100" s="14">
        <f>ROUND(T100,0)</f>
        <v>25</v>
      </c>
      <c r="V100" s="34">
        <v>0.05</v>
      </c>
      <c r="W100" s="31">
        <v>98.87</v>
      </c>
      <c r="X100" s="31">
        <v>1.08</v>
      </c>
      <c r="Y100" s="31">
        <v>0.9</v>
      </c>
      <c r="Z100" s="31">
        <v>0.48</v>
      </c>
      <c r="AA100" s="34">
        <v>1.08</v>
      </c>
      <c r="AB100" s="31">
        <v>0.66</v>
      </c>
      <c r="AC100" s="32">
        <v>1.8492</v>
      </c>
      <c r="AD100" s="33">
        <v>0.1522</v>
      </c>
      <c r="AE100" s="33">
        <v>0.17480000000000001</v>
      </c>
      <c r="AF100" s="33">
        <v>0.24890000000000001</v>
      </c>
      <c r="AG100" s="33">
        <v>0.28139999999999998</v>
      </c>
      <c r="AH100" s="33">
        <v>0.31850000000000001</v>
      </c>
      <c r="AI100" s="32">
        <v>1.8245</v>
      </c>
      <c r="AJ100" s="33">
        <v>0.1547</v>
      </c>
      <c r="AK100" s="33">
        <v>0.17749999999999999</v>
      </c>
      <c r="AL100" s="33">
        <v>0.28220000000000001</v>
      </c>
      <c r="AM100" s="33">
        <v>0.31919999999999998</v>
      </c>
      <c r="AN100" s="33">
        <v>0.24959999999999999</v>
      </c>
    </row>
    <row r="101" spans="1:42">
      <c r="A101" s="29" t="s">
        <v>110</v>
      </c>
      <c r="B101" s="10">
        <v>2</v>
      </c>
      <c r="C101" s="29" t="s">
        <v>93</v>
      </c>
      <c r="D101" s="30">
        <v>598906.69999999995</v>
      </c>
      <c r="E101" s="30">
        <v>5851476</v>
      </c>
      <c r="F101" s="31">
        <v>24.3</v>
      </c>
      <c r="H101" s="29" t="s">
        <v>112</v>
      </c>
      <c r="I101" s="27" t="s">
        <v>59</v>
      </c>
      <c r="J101" s="31">
        <v>1.04</v>
      </c>
      <c r="K101" s="31">
        <v>2</v>
      </c>
      <c r="L101" s="17">
        <f>F101+J101</f>
        <v>25.34</v>
      </c>
      <c r="M101" s="16">
        <f>F101+K101</f>
        <v>26.3</v>
      </c>
      <c r="N101" s="12">
        <f>(L101+M101)/2</f>
        <v>25.82</v>
      </c>
      <c r="O101" s="11">
        <f>ROUND(N101,0)</f>
        <v>26</v>
      </c>
      <c r="P101" s="13">
        <v>1</v>
      </c>
      <c r="Q101" s="13">
        <f>K101</f>
        <v>2</v>
      </c>
      <c r="R101" s="13">
        <f>P101+F101</f>
        <v>25.3</v>
      </c>
      <c r="S101" s="13">
        <f>F101+Q101</f>
        <v>26.3</v>
      </c>
      <c r="T101" s="13">
        <f>(R101+S101)/2</f>
        <v>25.8</v>
      </c>
      <c r="U101" s="14">
        <f>ROUND(T101,0)</f>
        <v>26</v>
      </c>
      <c r="V101" s="34">
        <v>1.07</v>
      </c>
      <c r="W101" s="31">
        <v>98.05</v>
      </c>
      <c r="X101" s="31">
        <v>0.88</v>
      </c>
      <c r="Y101" s="31">
        <v>0.72</v>
      </c>
      <c r="Z101" s="31">
        <v>0.42</v>
      </c>
      <c r="AA101" s="34">
        <v>0.88</v>
      </c>
      <c r="AB101" s="31">
        <v>0.57999999999999996</v>
      </c>
      <c r="AC101" s="32">
        <v>1.8622000000000001</v>
      </c>
      <c r="AD101" s="33">
        <v>0.15970000000000001</v>
      </c>
      <c r="AE101" s="33">
        <v>0.18260000000000001</v>
      </c>
      <c r="AF101" s="33">
        <v>0.26490000000000002</v>
      </c>
      <c r="AG101" s="33">
        <v>0.29749999999999999</v>
      </c>
      <c r="AH101" s="33">
        <v>0.33410000000000001</v>
      </c>
      <c r="AI101" s="32">
        <v>1.8283</v>
      </c>
      <c r="AJ101" s="33">
        <v>0.16189999999999999</v>
      </c>
      <c r="AK101" s="33">
        <v>0.1832</v>
      </c>
      <c r="AL101" s="33">
        <v>0.29599999999999999</v>
      </c>
      <c r="AM101" s="33">
        <v>0.33179999999999998</v>
      </c>
      <c r="AN101" s="33">
        <v>0.2641</v>
      </c>
    </row>
    <row r="102" spans="1:42">
      <c r="A102" s="29" t="s">
        <v>110</v>
      </c>
      <c r="B102" s="10">
        <v>2</v>
      </c>
      <c r="C102" s="29" t="s">
        <v>93</v>
      </c>
      <c r="D102" s="30">
        <v>598906.69999999995</v>
      </c>
      <c r="E102" s="30">
        <v>5851476</v>
      </c>
      <c r="F102" s="31">
        <v>24.3</v>
      </c>
      <c r="H102" s="29" t="s">
        <v>113</v>
      </c>
      <c r="I102" s="27" t="s">
        <v>60</v>
      </c>
      <c r="J102" s="31">
        <v>2.2000000000000002</v>
      </c>
      <c r="K102" s="31">
        <v>3</v>
      </c>
      <c r="L102" s="17">
        <f>F102+J102</f>
        <v>26.5</v>
      </c>
      <c r="M102" s="16">
        <f>F102+K102</f>
        <v>27.3</v>
      </c>
      <c r="N102" s="12">
        <f>(L102+M102)/2</f>
        <v>26.9</v>
      </c>
      <c r="O102" s="11">
        <f>ROUND(N102,0)</f>
        <v>27</v>
      </c>
      <c r="P102" s="13">
        <v>2</v>
      </c>
      <c r="Q102" s="13">
        <f>K102</f>
        <v>3</v>
      </c>
      <c r="R102" s="13">
        <f>P102+F102</f>
        <v>26.3</v>
      </c>
      <c r="S102" s="13">
        <f>F102+Q102</f>
        <v>27.3</v>
      </c>
      <c r="T102" s="13">
        <f>(R102+S102)/2</f>
        <v>26.8</v>
      </c>
      <c r="U102" s="14">
        <f>ROUND(T102,0)</f>
        <v>27</v>
      </c>
      <c r="V102" s="34">
        <v>0.2</v>
      </c>
      <c r="W102" s="31">
        <v>98.83</v>
      </c>
      <c r="X102" s="31">
        <v>0.96</v>
      </c>
      <c r="Y102" s="31">
        <v>0.79</v>
      </c>
      <c r="Z102" s="31">
        <v>0.55000000000000004</v>
      </c>
      <c r="AA102" s="34">
        <v>0.96</v>
      </c>
      <c r="AB102" s="31">
        <v>0.73</v>
      </c>
      <c r="AC102" s="32">
        <v>2.1009000000000002</v>
      </c>
      <c r="AD102" s="33">
        <v>0.15049999999999999</v>
      </c>
      <c r="AE102" s="33">
        <v>0.17449999999999999</v>
      </c>
      <c r="AF102" s="33">
        <v>0.29139999999999999</v>
      </c>
      <c r="AG102" s="33">
        <v>0.31609999999999999</v>
      </c>
      <c r="AH102" s="33">
        <v>0.34279999999999999</v>
      </c>
      <c r="AI102" s="32">
        <v>2.0644999999999998</v>
      </c>
      <c r="AJ102" s="33">
        <v>0.15329999999999999</v>
      </c>
      <c r="AK102" s="33">
        <v>0.17749999999999999</v>
      </c>
      <c r="AL102" s="33">
        <v>0.3165</v>
      </c>
      <c r="AM102" s="33">
        <v>0.34300000000000003</v>
      </c>
      <c r="AN102" s="33">
        <v>0.29210000000000003</v>
      </c>
      <c r="AP102" s="22"/>
    </row>
    <row r="103" spans="1:42">
      <c r="A103" s="29" t="s">
        <v>110</v>
      </c>
      <c r="B103" s="10">
        <v>2</v>
      </c>
      <c r="C103" s="29" t="s">
        <v>93</v>
      </c>
      <c r="D103" s="30">
        <v>598906.69999999995</v>
      </c>
      <c r="E103" s="30">
        <v>5851476</v>
      </c>
      <c r="F103" s="31">
        <v>24.3</v>
      </c>
      <c r="H103" s="29" t="s">
        <v>114</v>
      </c>
      <c r="I103" s="27" t="s">
        <v>61</v>
      </c>
      <c r="J103" s="31">
        <v>4.1100000000000003</v>
      </c>
      <c r="K103" s="31">
        <v>5</v>
      </c>
      <c r="L103" s="17">
        <f>F103+J103</f>
        <v>28.41</v>
      </c>
      <c r="M103" s="16">
        <f>F103+K103</f>
        <v>29.3</v>
      </c>
      <c r="N103" s="12">
        <f>(L103+M103)/2</f>
        <v>28.855</v>
      </c>
      <c r="O103" s="11">
        <f>ROUND(N103,0)</f>
        <v>29</v>
      </c>
      <c r="P103" s="13">
        <v>3</v>
      </c>
      <c r="Q103" s="13">
        <f>K103</f>
        <v>5</v>
      </c>
      <c r="R103" s="13">
        <f>P103+F103</f>
        <v>27.3</v>
      </c>
      <c r="S103" s="13">
        <f>F103+Q103</f>
        <v>29.3</v>
      </c>
      <c r="T103" s="13">
        <f>(R103+S103)/2</f>
        <v>28.3</v>
      </c>
      <c r="U103" s="14">
        <f>ROUND(T103,0)</f>
        <v>28</v>
      </c>
      <c r="V103" s="34">
        <v>0.02</v>
      </c>
      <c r="W103" s="31">
        <v>99.53</v>
      </c>
      <c r="X103" s="31">
        <v>0.45</v>
      </c>
      <c r="Y103" s="31">
        <v>0.37</v>
      </c>
      <c r="Z103" s="31">
        <v>0.32</v>
      </c>
      <c r="AA103" s="34">
        <v>0.45</v>
      </c>
      <c r="AB103" s="31">
        <v>0.4</v>
      </c>
      <c r="AC103" s="32">
        <v>1.6019000000000001</v>
      </c>
      <c r="AD103" s="33">
        <v>0.1986</v>
      </c>
      <c r="AE103" s="33">
        <v>0.22270000000000001</v>
      </c>
      <c r="AF103" s="33">
        <v>0.29959999999999998</v>
      </c>
      <c r="AG103" s="33">
        <v>0.31819999999999998</v>
      </c>
      <c r="AH103" s="33">
        <v>0.33800000000000002</v>
      </c>
      <c r="AI103" s="32">
        <v>1.5904</v>
      </c>
      <c r="AJ103" s="33">
        <v>0.20030000000000001</v>
      </c>
      <c r="AK103" s="33">
        <v>0.22439999999999999</v>
      </c>
      <c r="AL103" s="33">
        <v>0.31850000000000001</v>
      </c>
      <c r="AM103" s="33">
        <v>0.33829999999999999</v>
      </c>
      <c r="AN103" s="33">
        <v>0.2999</v>
      </c>
      <c r="AP103" s="22"/>
    </row>
    <row r="104" spans="1:42">
      <c r="A104" s="29" t="s">
        <v>110</v>
      </c>
      <c r="B104" s="10">
        <v>2</v>
      </c>
      <c r="C104" s="29" t="s">
        <v>93</v>
      </c>
      <c r="D104" s="30">
        <v>598906.69999999995</v>
      </c>
      <c r="E104" s="30">
        <v>5851476</v>
      </c>
      <c r="F104" s="31">
        <v>24.3</v>
      </c>
      <c r="H104" s="29" t="s">
        <v>115</v>
      </c>
      <c r="I104" s="27" t="s">
        <v>62</v>
      </c>
      <c r="J104" s="31">
        <v>5</v>
      </c>
      <c r="K104" s="31">
        <v>5.5</v>
      </c>
      <c r="L104" s="17">
        <f>F104+J104</f>
        <v>29.3</v>
      </c>
      <c r="M104" s="16">
        <f>F104+K104</f>
        <v>29.8</v>
      </c>
      <c r="N104" s="12">
        <f>(L104+M104)/2</f>
        <v>29.55</v>
      </c>
      <c r="O104" s="11">
        <f>ROUND(N104,0)</f>
        <v>30</v>
      </c>
      <c r="P104" s="13">
        <f>J104</f>
        <v>5</v>
      </c>
      <c r="Q104" s="13">
        <f>K104</f>
        <v>5.5</v>
      </c>
      <c r="R104" s="13">
        <f>P104+F104</f>
        <v>29.3</v>
      </c>
      <c r="S104" s="13">
        <f>F104+Q104</f>
        <v>29.8</v>
      </c>
      <c r="T104" s="13">
        <f>(R104+S104)/2</f>
        <v>29.55</v>
      </c>
      <c r="U104" s="14">
        <f>ROUND(T104,0)</f>
        <v>30</v>
      </c>
      <c r="V104" s="34">
        <v>0</v>
      </c>
      <c r="W104" s="31">
        <v>99.08</v>
      </c>
      <c r="X104" s="31">
        <v>0.92</v>
      </c>
      <c r="Y104" s="31">
        <v>0.83</v>
      </c>
      <c r="Z104" s="31">
        <v>0.43</v>
      </c>
      <c r="AA104" s="34">
        <v>0.92</v>
      </c>
      <c r="AB104" s="31">
        <v>0.52</v>
      </c>
      <c r="AC104" s="32">
        <v>1.6812</v>
      </c>
      <c r="AD104" s="33">
        <v>0.17660000000000001</v>
      </c>
      <c r="AE104" s="33">
        <v>0.19289999999999999</v>
      </c>
      <c r="AF104" s="33">
        <v>0.27910000000000001</v>
      </c>
      <c r="AG104" s="33">
        <v>0.2969</v>
      </c>
      <c r="AH104" s="33">
        <v>0.316</v>
      </c>
      <c r="AI104" s="32">
        <v>1.6500999999999999</v>
      </c>
      <c r="AJ104" s="33">
        <v>0.1802</v>
      </c>
      <c r="AK104" s="33">
        <v>0.19420000000000001</v>
      </c>
      <c r="AL104" s="33">
        <v>0.29730000000000001</v>
      </c>
      <c r="AM104" s="33">
        <v>0.31630000000000003</v>
      </c>
      <c r="AN104" s="33">
        <v>0.27950000000000003</v>
      </c>
      <c r="AO104" s="2"/>
      <c r="AP104" s="22"/>
    </row>
    <row r="105" spans="1:42" ht="17">
      <c r="A105" t="s">
        <v>121</v>
      </c>
      <c r="B105">
        <v>1</v>
      </c>
      <c r="D105" s="23">
        <v>597569</v>
      </c>
      <c r="E105" s="23">
        <v>5851562</v>
      </c>
      <c r="F105">
        <v>22.5</v>
      </c>
      <c r="I105" s="27" t="s">
        <v>65</v>
      </c>
      <c r="J105">
        <v>0</v>
      </c>
      <c r="K105">
        <v>0.06</v>
      </c>
      <c r="L105" s="17">
        <f>F105+J105</f>
        <v>22.5</v>
      </c>
      <c r="M105" s="16">
        <f>F105+K105</f>
        <v>22.56</v>
      </c>
      <c r="N105" s="12">
        <f>(L105+M105)/2</f>
        <v>22.53</v>
      </c>
      <c r="O105" s="11">
        <f>ROUND(N105,0)</f>
        <v>23</v>
      </c>
      <c r="P105" s="13">
        <f>J105</f>
        <v>0</v>
      </c>
      <c r="Q105" s="13">
        <f>K105</f>
        <v>0.06</v>
      </c>
      <c r="R105" s="13">
        <f>P105+F105</f>
        <v>22.5</v>
      </c>
      <c r="S105" s="13">
        <f>F105+Q105</f>
        <v>22.56</v>
      </c>
      <c r="T105" s="13">
        <f>(R105+S105)/2</f>
        <v>22.53</v>
      </c>
      <c r="U105" s="14">
        <f>ROUND(T105,0)</f>
        <v>23</v>
      </c>
      <c r="V105" s="31"/>
      <c r="W105" s="31"/>
      <c r="X105" s="31"/>
      <c r="Y105" s="31"/>
      <c r="Z105" s="31">
        <v>0.6</v>
      </c>
      <c r="AA105" s="31">
        <v>0.78</v>
      </c>
      <c r="AB105" s="31">
        <v>0.61</v>
      </c>
      <c r="AC105" s="33">
        <v>1.9386000000000001</v>
      </c>
      <c r="AD105" s="33">
        <v>0.21049999999999999</v>
      </c>
      <c r="AE105" s="33">
        <v>0.25209999999999999</v>
      </c>
      <c r="AF105" s="31">
        <v>0.372</v>
      </c>
      <c r="AG105" s="33">
        <v>0.40810000000000002</v>
      </c>
      <c r="AH105" s="33">
        <v>0.4476</v>
      </c>
      <c r="AI105" s="33">
        <v>1.8996999999999999</v>
      </c>
      <c r="AJ105" s="33">
        <v>0.21510000000000001</v>
      </c>
      <c r="AK105" s="33">
        <v>0.25359999999999999</v>
      </c>
      <c r="AL105" s="33">
        <v>0.40860000000000002</v>
      </c>
      <c r="AM105" s="33">
        <v>0.44779999999999998</v>
      </c>
      <c r="AN105" s="33">
        <v>0.37280000000000002</v>
      </c>
      <c r="AP105" s="22"/>
    </row>
    <row r="106" spans="1:42" ht="17">
      <c r="A106" t="s">
        <v>121</v>
      </c>
      <c r="B106">
        <v>1</v>
      </c>
      <c r="D106" s="23">
        <v>597569</v>
      </c>
      <c r="E106" s="23">
        <v>5851562</v>
      </c>
      <c r="F106">
        <v>22.5</v>
      </c>
      <c r="I106" s="27" t="s">
        <v>65</v>
      </c>
      <c r="J106">
        <v>0.06</v>
      </c>
      <c r="K106">
        <v>0.35</v>
      </c>
      <c r="L106" s="17">
        <f>F106+J106</f>
        <v>22.56</v>
      </c>
      <c r="M106" s="16">
        <f>F106+K106</f>
        <v>22.85</v>
      </c>
      <c r="N106" s="12">
        <f>(L106+M106)/2</f>
        <v>22.704999999999998</v>
      </c>
      <c r="O106" s="11">
        <f>ROUND(N106,0)</f>
        <v>23</v>
      </c>
      <c r="P106" s="13">
        <f>J106</f>
        <v>0.06</v>
      </c>
      <c r="Q106" s="13">
        <f>K106</f>
        <v>0.35</v>
      </c>
      <c r="R106" s="13">
        <f>P106+F106</f>
        <v>22.56</v>
      </c>
      <c r="S106" s="13">
        <f>F106+Q106</f>
        <v>22.85</v>
      </c>
      <c r="T106" s="13">
        <f>(R106+S106)/2</f>
        <v>22.704999999999998</v>
      </c>
      <c r="U106" s="14">
        <f>ROUND(T106,0)</f>
        <v>23</v>
      </c>
      <c r="V106" s="31"/>
      <c r="W106" s="31"/>
      <c r="X106" s="31"/>
      <c r="Y106" s="31"/>
      <c r="Z106" s="31">
        <v>0.54</v>
      </c>
      <c r="AA106" s="31">
        <v>0.98</v>
      </c>
      <c r="AB106" s="31">
        <v>0.77</v>
      </c>
      <c r="AC106" s="33">
        <v>2.0926999999999998</v>
      </c>
      <c r="AD106" s="33">
        <v>0.1658</v>
      </c>
      <c r="AE106" s="33">
        <v>0.20030000000000001</v>
      </c>
      <c r="AF106" s="31">
        <v>0.31830000000000003</v>
      </c>
      <c r="AG106" s="33">
        <v>0.34699999999999998</v>
      </c>
      <c r="AH106" s="33">
        <v>0.38669999999999999</v>
      </c>
      <c r="AI106" s="33">
        <v>2.0247999999999999</v>
      </c>
      <c r="AJ106" s="33">
        <v>0.17180000000000001</v>
      </c>
      <c r="AK106" s="33">
        <v>0.20449999999999999</v>
      </c>
      <c r="AL106" s="33">
        <v>0.34789999999999999</v>
      </c>
      <c r="AM106" s="33">
        <v>0.38769999999999999</v>
      </c>
      <c r="AN106" s="33">
        <v>0.31929999999999997</v>
      </c>
      <c r="AP106" s="22"/>
    </row>
    <row r="107" spans="1:42" ht="17">
      <c r="A107" t="s">
        <v>121</v>
      </c>
      <c r="B107">
        <v>1</v>
      </c>
      <c r="D107" s="23">
        <v>597569</v>
      </c>
      <c r="E107" s="23">
        <v>5851562</v>
      </c>
      <c r="F107">
        <v>22.5</v>
      </c>
      <c r="I107" s="27" t="s">
        <v>65</v>
      </c>
      <c r="J107">
        <v>0.35</v>
      </c>
      <c r="K107">
        <v>0.54</v>
      </c>
      <c r="L107" s="17">
        <f>F107+J107</f>
        <v>22.85</v>
      </c>
      <c r="M107" s="16">
        <f>F107+K107</f>
        <v>23.04</v>
      </c>
      <c r="N107" s="12">
        <f>(L107+M107)/2</f>
        <v>22.945</v>
      </c>
      <c r="O107" s="11">
        <f>ROUND(N107,0)</f>
        <v>23</v>
      </c>
      <c r="P107" s="13">
        <f>J107</f>
        <v>0.35</v>
      </c>
      <c r="Q107" s="13">
        <f>K107</f>
        <v>0.54</v>
      </c>
      <c r="R107" s="13">
        <f>P107+F107</f>
        <v>22.85</v>
      </c>
      <c r="S107" s="13">
        <f>F107+Q107</f>
        <v>23.04</v>
      </c>
      <c r="T107" s="13">
        <f>(R107+S107)/2</f>
        <v>22.945</v>
      </c>
      <c r="U107" s="14">
        <f>ROUND(T107,0)</f>
        <v>23</v>
      </c>
      <c r="V107" s="31"/>
      <c r="W107" s="31"/>
      <c r="X107" s="31"/>
      <c r="Y107" s="31"/>
      <c r="Z107" s="31">
        <v>0.6</v>
      </c>
      <c r="AA107" s="31">
        <v>0.93</v>
      </c>
      <c r="AB107" s="31">
        <v>0.73</v>
      </c>
      <c r="AC107" s="33">
        <v>1.7117</v>
      </c>
      <c r="AD107" s="33">
        <v>0.16800000000000001</v>
      </c>
      <c r="AE107" s="33">
        <v>0.1875</v>
      </c>
      <c r="AF107" s="31">
        <v>0.2697</v>
      </c>
      <c r="AG107" s="33">
        <v>0.28760000000000002</v>
      </c>
      <c r="AH107" s="33">
        <v>0.30669999999999997</v>
      </c>
      <c r="AI107" s="33">
        <v>1.6698</v>
      </c>
      <c r="AJ107" s="33">
        <v>0.17249999999999999</v>
      </c>
      <c r="AK107" s="33">
        <v>0.18890000000000001</v>
      </c>
      <c r="AL107" s="33">
        <v>0.28810000000000002</v>
      </c>
      <c r="AM107" s="33">
        <v>0.30709999999999998</v>
      </c>
      <c r="AN107" s="33">
        <v>0.2702</v>
      </c>
      <c r="AP107" s="22"/>
    </row>
    <row r="108" spans="1:42" ht="17">
      <c r="A108" t="s">
        <v>121</v>
      </c>
      <c r="B108">
        <v>1</v>
      </c>
      <c r="D108" s="23">
        <v>597569</v>
      </c>
      <c r="E108" s="23">
        <v>5851562</v>
      </c>
      <c r="F108">
        <v>22.5</v>
      </c>
      <c r="I108" s="27" t="s">
        <v>60</v>
      </c>
      <c r="J108">
        <v>0.54</v>
      </c>
      <c r="K108">
        <v>3</v>
      </c>
      <c r="L108" s="17">
        <f>F108+J108</f>
        <v>23.04</v>
      </c>
      <c r="M108" s="16">
        <f>F108+K108</f>
        <v>25.5</v>
      </c>
      <c r="N108" s="12">
        <f>(L108+M108)/2</f>
        <v>24.27</v>
      </c>
      <c r="O108" s="11">
        <f>ROUND(N108,0)</f>
        <v>24</v>
      </c>
      <c r="P108" s="13">
        <f>J108</f>
        <v>0.54</v>
      </c>
      <c r="Q108" s="13">
        <f>K108</f>
        <v>3</v>
      </c>
      <c r="R108" s="13">
        <f>P108+F108</f>
        <v>23.04</v>
      </c>
      <c r="S108" s="13">
        <f>F108+Q108</f>
        <v>25.5</v>
      </c>
      <c r="T108" s="13">
        <f>(R108+S108)/2</f>
        <v>24.27</v>
      </c>
      <c r="U108" s="14">
        <f>ROUND(T108,0)</f>
        <v>24</v>
      </c>
      <c r="V108" s="31"/>
      <c r="W108" s="31"/>
      <c r="X108" s="31"/>
      <c r="Y108" s="31"/>
      <c r="Z108" s="31">
        <v>0.52</v>
      </c>
      <c r="AA108" s="31">
        <v>1.28</v>
      </c>
      <c r="AB108" s="31">
        <v>1.01</v>
      </c>
      <c r="AC108" s="33">
        <v>1.7493000000000001</v>
      </c>
      <c r="AD108" s="33">
        <v>0.1547</v>
      </c>
      <c r="AE108" s="33">
        <v>0.18010000000000001</v>
      </c>
      <c r="AF108" s="31">
        <v>0.2442</v>
      </c>
      <c r="AG108" s="33">
        <v>0.2707</v>
      </c>
      <c r="AH108" s="33">
        <v>0.30180000000000001</v>
      </c>
      <c r="AI108" s="33">
        <v>1.7081</v>
      </c>
      <c r="AJ108" s="33">
        <v>0.15909999999999999</v>
      </c>
      <c r="AK108" s="33">
        <v>0.18140000000000001</v>
      </c>
      <c r="AL108" s="33">
        <v>0.2717</v>
      </c>
      <c r="AM108" s="33">
        <v>0.30259999999999998</v>
      </c>
      <c r="AN108" s="33">
        <v>0.2452</v>
      </c>
    </row>
    <row r="109" spans="1:42" ht="17">
      <c r="A109" t="s">
        <v>121</v>
      </c>
      <c r="B109">
        <v>1</v>
      </c>
      <c r="D109" s="23">
        <v>597569</v>
      </c>
      <c r="E109" s="23">
        <v>5851562</v>
      </c>
      <c r="F109">
        <v>22.5</v>
      </c>
      <c r="I109" s="27" t="s">
        <v>63</v>
      </c>
      <c r="J109">
        <v>3</v>
      </c>
      <c r="K109">
        <v>3.61</v>
      </c>
      <c r="L109" s="17">
        <f>F109+J109</f>
        <v>25.5</v>
      </c>
      <c r="M109" s="16">
        <f>F109+K109</f>
        <v>26.11</v>
      </c>
      <c r="N109" s="12">
        <f>(L109+M109)/2</f>
        <v>25.805</v>
      </c>
      <c r="O109" s="11">
        <f>ROUND(N109,0)</f>
        <v>26</v>
      </c>
      <c r="P109" s="13">
        <f>J109</f>
        <v>3</v>
      </c>
      <c r="Q109" s="13">
        <f>K109</f>
        <v>3.61</v>
      </c>
      <c r="R109" s="13">
        <f>P109+F109</f>
        <v>25.5</v>
      </c>
      <c r="S109" s="13">
        <f>F109+Q109</f>
        <v>26.11</v>
      </c>
      <c r="T109" s="13">
        <f>(R109+S109)/2</f>
        <v>25.805</v>
      </c>
      <c r="U109" s="14">
        <f>ROUND(T109,0)</f>
        <v>26</v>
      </c>
      <c r="V109" s="31"/>
      <c r="W109" s="31"/>
      <c r="X109" s="31"/>
      <c r="Y109" s="31"/>
      <c r="Z109" s="31">
        <v>0.49</v>
      </c>
      <c r="AA109" s="31">
        <v>1.61</v>
      </c>
      <c r="AB109" s="31">
        <v>1.1100000000000001</v>
      </c>
      <c r="AC109" s="33">
        <v>1.7785</v>
      </c>
      <c r="AD109" s="33">
        <v>0.16120000000000001</v>
      </c>
      <c r="AE109" s="33">
        <v>0.18329999999999999</v>
      </c>
      <c r="AF109" s="31">
        <v>0.25950000000000001</v>
      </c>
      <c r="AG109" s="33">
        <v>0.28670000000000001</v>
      </c>
      <c r="AH109" s="33">
        <v>0.31680000000000003</v>
      </c>
      <c r="AI109" s="33">
        <v>1.7249000000000001</v>
      </c>
      <c r="AJ109" s="33">
        <v>0.1668</v>
      </c>
      <c r="AK109" s="33">
        <v>0.18490000000000001</v>
      </c>
      <c r="AL109" s="33">
        <v>0.28770000000000001</v>
      </c>
      <c r="AM109" s="33">
        <v>0.31740000000000002</v>
      </c>
      <c r="AN109" s="33">
        <v>0.26069999999999999</v>
      </c>
      <c r="AO109" s="2"/>
    </row>
    <row r="110" spans="1:42" ht="17">
      <c r="A110" t="s">
        <v>121</v>
      </c>
      <c r="B110">
        <v>1</v>
      </c>
      <c r="D110" s="23">
        <v>597569</v>
      </c>
      <c r="E110" s="23">
        <v>5851562</v>
      </c>
      <c r="F110">
        <v>22.5</v>
      </c>
      <c r="I110" s="27" t="s">
        <v>63</v>
      </c>
      <c r="J110">
        <v>3.61</v>
      </c>
      <c r="K110">
        <v>3.9</v>
      </c>
      <c r="L110" s="17">
        <f>F110+J110</f>
        <v>26.11</v>
      </c>
      <c r="M110" s="16">
        <f>F110+K110</f>
        <v>26.4</v>
      </c>
      <c r="N110" s="12">
        <f>(L110+M110)/2</f>
        <v>26.254999999999999</v>
      </c>
      <c r="O110" s="11">
        <f>ROUND(N110,0)</f>
        <v>26</v>
      </c>
      <c r="P110" s="13">
        <f>J110</f>
        <v>3.61</v>
      </c>
      <c r="Q110" s="13">
        <f>K110</f>
        <v>3.9</v>
      </c>
      <c r="R110" s="13">
        <f>P110+F110</f>
        <v>26.11</v>
      </c>
      <c r="S110" s="13">
        <f>F110+Q110</f>
        <v>26.4</v>
      </c>
      <c r="T110" s="13">
        <f>(R110+S110)/2</f>
        <v>26.254999999999999</v>
      </c>
      <c r="U110" s="14">
        <f>ROUND(T110,0)</f>
        <v>26</v>
      </c>
      <c r="V110" s="31"/>
      <c r="W110" s="31"/>
      <c r="X110" s="31"/>
      <c r="Y110" s="31"/>
      <c r="Z110" s="31">
        <v>0.95</v>
      </c>
      <c r="AA110" s="31">
        <v>1.74</v>
      </c>
      <c r="AB110" s="31">
        <v>1.35</v>
      </c>
      <c r="AC110" s="33">
        <v>1.7035</v>
      </c>
      <c r="AD110" s="33">
        <v>0.14019999999999999</v>
      </c>
      <c r="AE110" s="33">
        <v>0.1552</v>
      </c>
      <c r="AF110" s="31">
        <v>0.22159999999999999</v>
      </c>
      <c r="AG110" s="33">
        <v>0.23880000000000001</v>
      </c>
      <c r="AH110" s="33">
        <v>0.26350000000000001</v>
      </c>
      <c r="AI110" s="33">
        <v>1.6682999999999999</v>
      </c>
      <c r="AJ110" s="33">
        <v>0.14369999999999999</v>
      </c>
      <c r="AK110" s="33">
        <v>0.1588</v>
      </c>
      <c r="AL110" s="33">
        <v>0.2397</v>
      </c>
      <c r="AM110" s="33">
        <v>0.26469999999999999</v>
      </c>
      <c r="AN110" s="33">
        <v>0.22259999999999999</v>
      </c>
    </row>
    <row r="111" spans="1:42" ht="17">
      <c r="A111" t="s">
        <v>121</v>
      </c>
      <c r="B111">
        <v>1</v>
      </c>
      <c r="D111" s="23">
        <v>597569</v>
      </c>
      <c r="E111" s="23">
        <v>5851562</v>
      </c>
      <c r="F111">
        <v>22.5</v>
      </c>
      <c r="I111" s="27" t="s">
        <v>63</v>
      </c>
      <c r="J111">
        <v>3.9</v>
      </c>
      <c r="K111">
        <v>4</v>
      </c>
      <c r="L111" s="17">
        <f>F111+J111</f>
        <v>26.4</v>
      </c>
      <c r="M111" s="16">
        <f>F111+K111</f>
        <v>26.5</v>
      </c>
      <c r="N111" s="12">
        <f>(L111+M111)/2</f>
        <v>26.45</v>
      </c>
      <c r="O111" s="11">
        <f>ROUND(N111,0)</f>
        <v>26</v>
      </c>
      <c r="P111" s="13">
        <f>J111</f>
        <v>3.9</v>
      </c>
      <c r="Q111" s="13">
        <f>K111</f>
        <v>4</v>
      </c>
      <c r="R111" s="13">
        <f>P111+F111</f>
        <v>26.4</v>
      </c>
      <c r="S111" s="13">
        <f>F111+Q111</f>
        <v>26.5</v>
      </c>
      <c r="T111" s="13">
        <f>(R111+S111)/2</f>
        <v>26.45</v>
      </c>
      <c r="U111" s="14">
        <f>ROUND(T111,0)</f>
        <v>26</v>
      </c>
      <c r="V111" s="31"/>
      <c r="W111" s="31"/>
      <c r="X111" s="31"/>
      <c r="Y111" s="31"/>
      <c r="Z111" s="31">
        <v>1</v>
      </c>
      <c r="AA111" s="31">
        <v>1.73</v>
      </c>
      <c r="AB111" s="31">
        <v>1.42</v>
      </c>
      <c r="AC111" s="33">
        <v>1.6698</v>
      </c>
      <c r="AD111" s="33">
        <v>0.1298</v>
      </c>
      <c r="AE111" s="33">
        <v>0.1376</v>
      </c>
      <c r="AF111" s="31">
        <v>0.1991</v>
      </c>
      <c r="AG111" s="33">
        <v>0.2167</v>
      </c>
      <c r="AH111" s="33">
        <v>0.23580000000000001</v>
      </c>
      <c r="AI111" s="33">
        <v>1.6529</v>
      </c>
      <c r="AJ111" s="33">
        <v>0.13170000000000001</v>
      </c>
      <c r="AK111" s="33">
        <v>0.13950000000000001</v>
      </c>
      <c r="AL111" s="33">
        <v>0.2177</v>
      </c>
      <c r="AM111" s="33">
        <v>0.23669999999999999</v>
      </c>
      <c r="AN111" s="33">
        <v>0.20030000000000001</v>
      </c>
    </row>
    <row r="112" spans="1:42" ht="17">
      <c r="A112" t="s">
        <v>121</v>
      </c>
      <c r="B112">
        <v>1</v>
      </c>
      <c r="D112" s="23">
        <v>597569</v>
      </c>
      <c r="E112" s="23">
        <v>5851562</v>
      </c>
      <c r="F112">
        <v>22.5</v>
      </c>
      <c r="I112" s="19" t="s">
        <v>61</v>
      </c>
      <c r="J112">
        <v>4</v>
      </c>
      <c r="K112">
        <v>4.62</v>
      </c>
      <c r="L112" s="17">
        <f>F112+J112</f>
        <v>26.5</v>
      </c>
      <c r="M112" s="16">
        <f>F112+K112</f>
        <v>27.12</v>
      </c>
      <c r="N112" s="12">
        <f>(L112+M112)/2</f>
        <v>26.810000000000002</v>
      </c>
      <c r="O112" s="11">
        <f>ROUND(N112,0)</f>
        <v>27</v>
      </c>
      <c r="P112" s="13">
        <f>J112</f>
        <v>4</v>
      </c>
      <c r="Q112" s="13">
        <f>K112</f>
        <v>4.62</v>
      </c>
      <c r="R112" s="13">
        <f>P112+F112</f>
        <v>26.5</v>
      </c>
      <c r="S112" s="13">
        <f>F112+Q112</f>
        <v>27.12</v>
      </c>
      <c r="T112" s="13">
        <f>(R112+S112)/2</f>
        <v>26.810000000000002</v>
      </c>
      <c r="U112" s="14">
        <f>ROUND(T112,0)</f>
        <v>27</v>
      </c>
      <c r="V112" s="31"/>
      <c r="W112" s="31"/>
      <c r="X112" s="31"/>
      <c r="Y112" s="31"/>
      <c r="Z112" s="31">
        <v>0.87</v>
      </c>
      <c r="AA112" s="31">
        <v>1.43</v>
      </c>
      <c r="AB112" s="31">
        <v>1.1399999999999999</v>
      </c>
      <c r="AC112" s="33">
        <v>1.5185</v>
      </c>
      <c r="AD112" s="33">
        <v>0.12659999999999999</v>
      </c>
      <c r="AE112" s="33">
        <v>0.13189999999999999</v>
      </c>
      <c r="AF112" s="31">
        <v>0.17510000000000001</v>
      </c>
      <c r="AG112" s="33">
        <v>0.1923</v>
      </c>
      <c r="AH112" s="33">
        <v>0.2127</v>
      </c>
      <c r="AI112" s="33">
        <v>1.5128999999999999</v>
      </c>
      <c r="AJ112" s="33">
        <v>0.12770000000000001</v>
      </c>
      <c r="AK112" s="33">
        <v>0.13289999999999999</v>
      </c>
      <c r="AL112" s="33">
        <v>0.19320000000000001</v>
      </c>
      <c r="AM112" s="33">
        <v>0.21340000000000001</v>
      </c>
      <c r="AN112" s="33">
        <v>0.1759</v>
      </c>
    </row>
    <row r="113" spans="1:41" ht="17">
      <c r="A113" t="s">
        <v>121</v>
      </c>
      <c r="B113">
        <v>1</v>
      </c>
      <c r="D113" s="23">
        <v>597569</v>
      </c>
      <c r="E113" s="23">
        <v>5851562</v>
      </c>
      <c r="F113">
        <v>22.5</v>
      </c>
      <c r="I113" s="19" t="s">
        <v>61</v>
      </c>
      <c r="J113">
        <v>4.62</v>
      </c>
      <c r="K113">
        <v>4.9000000000000004</v>
      </c>
      <c r="L113" s="17">
        <f>F113+J113</f>
        <v>27.12</v>
      </c>
      <c r="M113" s="16">
        <f>F113+K113</f>
        <v>27.4</v>
      </c>
      <c r="N113" s="12">
        <f>(L113+M113)/2</f>
        <v>27.259999999999998</v>
      </c>
      <c r="O113" s="11">
        <f>ROUND(N113,0)</f>
        <v>27</v>
      </c>
      <c r="P113" s="13">
        <f>J113</f>
        <v>4.62</v>
      </c>
      <c r="Q113" s="13">
        <f>K113</f>
        <v>4.9000000000000004</v>
      </c>
      <c r="R113" s="13">
        <f>P113+F113</f>
        <v>27.12</v>
      </c>
      <c r="S113" s="13">
        <f>F113+Q113</f>
        <v>27.4</v>
      </c>
      <c r="T113" s="13">
        <f>(R113+S113)/2</f>
        <v>27.259999999999998</v>
      </c>
      <c r="U113" s="14">
        <f>ROUND(T113,0)</f>
        <v>27</v>
      </c>
      <c r="V113" s="20"/>
      <c r="W113" s="20"/>
      <c r="X113" s="20"/>
      <c r="Y113" s="31"/>
      <c r="Z113" s="31">
        <v>0.64</v>
      </c>
      <c r="AA113" s="31">
        <v>1.62</v>
      </c>
      <c r="AB113" s="31">
        <v>1.31</v>
      </c>
      <c r="AC113" s="33">
        <v>1.9521999999999999</v>
      </c>
      <c r="AD113" s="33">
        <v>0.1414</v>
      </c>
      <c r="AE113" s="33">
        <v>0.15820000000000001</v>
      </c>
      <c r="AF113" s="31">
        <v>0.25490000000000002</v>
      </c>
      <c r="AG113" s="33">
        <v>0.27600000000000002</v>
      </c>
      <c r="AH113" s="33">
        <v>0.2989</v>
      </c>
      <c r="AI113" s="33">
        <v>1.9091</v>
      </c>
      <c r="AJ113" s="33">
        <v>0.1452</v>
      </c>
      <c r="AK113" s="33">
        <v>0.16220000000000001</v>
      </c>
      <c r="AL113" s="33">
        <v>0.2772</v>
      </c>
      <c r="AM113" s="33">
        <v>0.2999</v>
      </c>
      <c r="AN113" s="33">
        <v>0.25619999999999998</v>
      </c>
    </row>
    <row r="114" spans="1:41" ht="17">
      <c r="A114" t="s">
        <v>121</v>
      </c>
      <c r="B114">
        <v>1</v>
      </c>
      <c r="D114" s="23">
        <v>597569</v>
      </c>
      <c r="E114" s="23">
        <v>5851562</v>
      </c>
      <c r="F114">
        <v>22.5</v>
      </c>
      <c r="I114" s="19" t="s">
        <v>61</v>
      </c>
      <c r="J114">
        <v>4.9000000000000004</v>
      </c>
      <c r="K114">
        <v>5</v>
      </c>
      <c r="L114" s="17">
        <f t="shared" ref="L114:L116" si="0">F114+J114</f>
        <v>27.4</v>
      </c>
      <c r="M114" s="16">
        <f t="shared" ref="M114:M116" si="1">F114+K114</f>
        <v>27.5</v>
      </c>
      <c r="N114" s="12">
        <f t="shared" ref="N114:N116" si="2">(L114+M114)/2</f>
        <v>27.45</v>
      </c>
      <c r="O114" s="11">
        <f t="shared" ref="O114:O116" si="3">ROUND(N114,0)</f>
        <v>27</v>
      </c>
      <c r="P114" s="13">
        <f t="shared" ref="P114:Q116" si="4">J114</f>
        <v>4.9000000000000004</v>
      </c>
      <c r="Q114" s="13">
        <f t="shared" si="4"/>
        <v>5</v>
      </c>
      <c r="R114" s="13">
        <f t="shared" ref="R114:R116" si="5">P114+F114</f>
        <v>27.4</v>
      </c>
      <c r="S114" s="13">
        <f t="shared" ref="S114:S116" si="6">F114+Q114</f>
        <v>27.5</v>
      </c>
      <c r="T114" s="13">
        <f t="shared" ref="T114:T116" si="7">(R114+S114)/2</f>
        <v>27.45</v>
      </c>
      <c r="U114" s="14">
        <f t="shared" ref="U114:U116" si="8">ROUND(T114,0)</f>
        <v>27</v>
      </c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</row>
    <row r="115" spans="1:41" ht="17">
      <c r="A115" t="s">
        <v>121</v>
      </c>
      <c r="B115">
        <v>1</v>
      </c>
      <c r="D115" s="23">
        <v>597569</v>
      </c>
      <c r="E115" s="23">
        <v>5851562</v>
      </c>
      <c r="F115">
        <v>22.5</v>
      </c>
      <c r="I115" s="19" t="s">
        <v>62</v>
      </c>
      <c r="J115">
        <v>5</v>
      </c>
      <c r="K115">
        <v>5.07</v>
      </c>
      <c r="L115" s="17">
        <f t="shared" si="0"/>
        <v>27.5</v>
      </c>
      <c r="M115" s="16">
        <f t="shared" si="1"/>
        <v>27.57</v>
      </c>
      <c r="N115" s="12">
        <f t="shared" si="2"/>
        <v>27.535</v>
      </c>
      <c r="O115" s="11">
        <f t="shared" si="3"/>
        <v>28</v>
      </c>
      <c r="P115" s="13">
        <f t="shared" si="4"/>
        <v>5</v>
      </c>
      <c r="Q115" s="13">
        <f t="shared" si="4"/>
        <v>5.07</v>
      </c>
      <c r="R115" s="13">
        <f t="shared" si="5"/>
        <v>27.5</v>
      </c>
      <c r="S115" s="13">
        <f t="shared" si="6"/>
        <v>27.57</v>
      </c>
      <c r="T115" s="13">
        <f t="shared" si="7"/>
        <v>27.535</v>
      </c>
      <c r="U115" s="14">
        <f t="shared" si="8"/>
        <v>28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</row>
    <row r="116" spans="1:41" ht="17">
      <c r="A116" t="s">
        <v>121</v>
      </c>
      <c r="B116">
        <v>1</v>
      </c>
      <c r="D116" s="23">
        <v>597569</v>
      </c>
      <c r="E116" s="23">
        <v>5851562</v>
      </c>
      <c r="F116">
        <v>22.5</v>
      </c>
      <c r="I116" s="19" t="s">
        <v>62</v>
      </c>
      <c r="J116">
        <v>5.07</v>
      </c>
      <c r="K116">
        <v>5.72</v>
      </c>
      <c r="L116" s="17">
        <f t="shared" si="0"/>
        <v>27.57</v>
      </c>
      <c r="M116" s="16">
        <f t="shared" si="1"/>
        <v>28.22</v>
      </c>
      <c r="N116" s="12">
        <f t="shared" si="2"/>
        <v>27.895</v>
      </c>
      <c r="O116" s="11">
        <f t="shared" si="3"/>
        <v>28</v>
      </c>
      <c r="P116" s="13">
        <f t="shared" si="4"/>
        <v>5.07</v>
      </c>
      <c r="Q116" s="13">
        <f t="shared" si="4"/>
        <v>5.72</v>
      </c>
      <c r="R116" s="13">
        <f t="shared" si="5"/>
        <v>27.57</v>
      </c>
      <c r="S116" s="13">
        <f t="shared" si="6"/>
        <v>28.22</v>
      </c>
      <c r="T116" s="13">
        <f t="shared" si="7"/>
        <v>27.895</v>
      </c>
      <c r="U116" s="14">
        <f t="shared" si="8"/>
        <v>28</v>
      </c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"/>
    </row>
    <row r="117" spans="1:41">
      <c r="A117" s="19"/>
      <c r="B117" s="10"/>
      <c r="C117" s="19"/>
      <c r="D117" s="19"/>
      <c r="E117" s="19"/>
      <c r="F117" s="19"/>
      <c r="H117" s="19"/>
      <c r="L117" s="17"/>
      <c r="M117" s="16"/>
      <c r="N117" s="12"/>
      <c r="O117" s="11"/>
      <c r="P117" s="13"/>
      <c r="Q117" s="13"/>
      <c r="R117" s="13"/>
      <c r="S117" s="13"/>
      <c r="T117" s="13"/>
      <c r="U117" s="14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</row>
    <row r="118" spans="1:41">
      <c r="A118" s="19"/>
      <c r="B118" s="10"/>
      <c r="C118" s="19"/>
      <c r="D118" s="19"/>
      <c r="E118" s="19"/>
      <c r="F118" s="19"/>
      <c r="G118" s="16"/>
      <c r="H118" s="19"/>
      <c r="L118" s="17"/>
      <c r="M118" s="16"/>
      <c r="N118" s="12"/>
      <c r="O118" s="11"/>
      <c r="P118" s="13"/>
      <c r="Q118" s="13"/>
      <c r="R118" s="13"/>
      <c r="S118" s="13"/>
      <c r="T118" s="13"/>
      <c r="U118" s="14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</row>
    <row r="119" spans="1:41">
      <c r="A119" s="19"/>
      <c r="B119" s="10"/>
      <c r="C119" s="19"/>
      <c r="D119" s="19"/>
      <c r="E119" s="19"/>
      <c r="F119" s="19"/>
      <c r="H119" s="19"/>
      <c r="L119" s="17"/>
      <c r="M119" s="16"/>
      <c r="N119" s="12"/>
      <c r="O119" s="11"/>
      <c r="P119" s="13"/>
      <c r="Q119" s="13"/>
      <c r="R119" s="13"/>
      <c r="S119" s="13"/>
      <c r="T119" s="13"/>
      <c r="U119" s="14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</row>
    <row r="120" spans="1:41">
      <c r="A120" s="19"/>
      <c r="B120" s="10"/>
      <c r="C120" s="19"/>
      <c r="D120" s="19"/>
      <c r="E120" s="19"/>
      <c r="F120" s="19"/>
      <c r="H120" s="19"/>
      <c r="L120" s="17"/>
      <c r="M120" s="16"/>
      <c r="N120" s="12"/>
      <c r="O120" s="11"/>
      <c r="P120" s="13"/>
      <c r="Q120" s="13"/>
      <c r="R120" s="13"/>
      <c r="S120" s="13"/>
      <c r="T120" s="13"/>
      <c r="U120" s="14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</row>
    <row r="121" spans="1:41">
      <c r="A121" s="19"/>
      <c r="B121" s="10"/>
      <c r="C121" s="19"/>
      <c r="D121" s="19"/>
      <c r="E121" s="19"/>
      <c r="F121" s="19"/>
      <c r="H121" s="19"/>
      <c r="L121" s="17"/>
      <c r="M121" s="16"/>
      <c r="N121" s="12"/>
      <c r="O121" s="11"/>
      <c r="P121" s="13"/>
      <c r="Q121" s="13"/>
      <c r="R121" s="13"/>
      <c r="S121" s="13"/>
      <c r="T121" s="13"/>
      <c r="U121" s="14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</row>
    <row r="122" spans="1:41">
      <c r="A122" s="19"/>
      <c r="B122" s="10"/>
      <c r="C122" s="19"/>
      <c r="D122" s="19"/>
      <c r="E122" s="19"/>
      <c r="F122" s="19"/>
      <c r="H122" s="19"/>
      <c r="L122" s="17"/>
      <c r="M122" s="16"/>
      <c r="N122" s="12"/>
      <c r="O122" s="11"/>
      <c r="P122" s="13"/>
      <c r="Q122" s="13"/>
      <c r="R122" s="13"/>
      <c r="S122" s="13"/>
      <c r="T122" s="13"/>
      <c r="U122" s="14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</row>
    <row r="123" spans="1:41">
      <c r="A123" s="19"/>
      <c r="B123" s="10"/>
      <c r="C123" s="19"/>
      <c r="D123" s="19"/>
      <c r="E123" s="19"/>
      <c r="F123" s="19"/>
      <c r="H123" s="19"/>
      <c r="L123" s="17"/>
      <c r="M123" s="16"/>
      <c r="N123" s="12"/>
      <c r="O123" s="11"/>
      <c r="P123" s="13"/>
      <c r="Q123" s="13"/>
      <c r="R123" s="13"/>
      <c r="S123" s="13"/>
      <c r="T123" s="13"/>
      <c r="U123" s="14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</row>
    <row r="124" spans="1:41">
      <c r="A124" s="19"/>
      <c r="B124" s="10"/>
      <c r="C124" s="19"/>
      <c r="D124" s="19"/>
      <c r="E124" s="19"/>
      <c r="F124" s="19"/>
      <c r="H124" s="19"/>
      <c r="L124" s="17"/>
      <c r="M124" s="16"/>
      <c r="N124" s="12"/>
      <c r="O124" s="11"/>
      <c r="P124" s="13"/>
      <c r="Q124" s="13"/>
      <c r="R124" s="13"/>
      <c r="S124" s="13"/>
      <c r="T124" s="13"/>
      <c r="U124" s="14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</row>
    <row r="125" spans="1:41">
      <c r="A125" s="19"/>
      <c r="B125" s="10"/>
      <c r="C125" s="19"/>
      <c r="D125" s="19"/>
      <c r="E125" s="19"/>
      <c r="F125" s="19"/>
      <c r="H125" s="19"/>
      <c r="L125" s="17"/>
      <c r="M125" s="16"/>
      <c r="N125" s="12"/>
      <c r="O125" s="11"/>
      <c r="P125" s="13"/>
      <c r="Q125" s="13"/>
      <c r="R125" s="13"/>
      <c r="S125" s="13"/>
      <c r="T125" s="13"/>
      <c r="U125" s="14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</row>
    <row r="126" spans="1:41">
      <c r="A126" s="19"/>
      <c r="B126" s="10"/>
      <c r="C126" s="19"/>
      <c r="D126" s="19"/>
      <c r="E126" s="19"/>
      <c r="F126" s="19"/>
      <c r="G126" s="16"/>
      <c r="H126" s="19"/>
      <c r="L126" s="17"/>
      <c r="M126" s="16"/>
      <c r="N126" s="12"/>
      <c r="O126" s="11"/>
      <c r="P126" s="13"/>
      <c r="Q126" s="13"/>
      <c r="R126" s="13"/>
      <c r="S126" s="13"/>
      <c r="T126" s="13"/>
      <c r="U126" s="14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</row>
    <row r="127" spans="1:41">
      <c r="A127" s="19"/>
      <c r="B127" s="10"/>
      <c r="C127" s="19"/>
      <c r="D127" s="19"/>
      <c r="E127" s="19"/>
      <c r="F127" s="19"/>
      <c r="H127" s="19"/>
      <c r="L127" s="17"/>
      <c r="M127" s="16"/>
      <c r="N127" s="12"/>
      <c r="O127" s="11"/>
      <c r="P127" s="13"/>
      <c r="Q127" s="13"/>
      <c r="R127" s="13"/>
      <c r="S127" s="13"/>
      <c r="T127" s="13"/>
      <c r="U127" s="14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</row>
    <row r="128" spans="1:41">
      <c r="A128" s="19"/>
      <c r="B128" s="10"/>
      <c r="C128" s="19"/>
      <c r="D128" s="19"/>
      <c r="E128" s="19"/>
      <c r="F128" s="19"/>
      <c r="H128" s="19"/>
      <c r="L128" s="17"/>
      <c r="M128" s="16"/>
      <c r="N128" s="12"/>
      <c r="O128" s="11"/>
      <c r="P128" s="13"/>
      <c r="Q128" s="13"/>
      <c r="R128" s="13"/>
      <c r="S128" s="13"/>
      <c r="T128" s="13"/>
      <c r="U128" s="14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</row>
    <row r="129" spans="1:41">
      <c r="A129" s="19"/>
      <c r="B129" s="10"/>
      <c r="C129" s="19"/>
      <c r="D129" s="19"/>
      <c r="E129" s="19"/>
      <c r="F129" s="19"/>
      <c r="H129" s="19"/>
      <c r="L129" s="17"/>
      <c r="M129" s="16"/>
      <c r="N129" s="12"/>
      <c r="O129" s="11"/>
      <c r="P129" s="13"/>
      <c r="Q129" s="13"/>
      <c r="R129" s="13"/>
      <c r="S129" s="13"/>
      <c r="T129" s="13"/>
      <c r="U129" s="14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"/>
    </row>
    <row r="130" spans="1:41">
      <c r="A130" s="19"/>
      <c r="B130" s="10"/>
      <c r="C130" s="19"/>
      <c r="D130" s="19"/>
      <c r="E130" s="19"/>
      <c r="F130" s="19"/>
      <c r="H130" s="19"/>
      <c r="L130" s="17"/>
      <c r="M130" s="16"/>
      <c r="N130" s="12"/>
      <c r="O130" s="11"/>
      <c r="P130" s="13"/>
      <c r="Q130" s="13"/>
      <c r="R130" s="13"/>
      <c r="S130" s="13"/>
      <c r="T130" s="13"/>
      <c r="U130" s="14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</row>
    <row r="131" spans="1:41">
      <c r="A131" s="19"/>
      <c r="B131" s="10"/>
      <c r="C131" s="19"/>
      <c r="D131" s="19"/>
      <c r="E131" s="19"/>
      <c r="F131" s="19"/>
      <c r="H131" s="19"/>
      <c r="L131" s="17"/>
      <c r="M131" s="16"/>
      <c r="N131" s="12"/>
      <c r="O131" s="11"/>
      <c r="P131" s="13"/>
      <c r="Q131" s="13"/>
      <c r="R131" s="13"/>
      <c r="S131" s="13"/>
      <c r="T131" s="13"/>
      <c r="U131" s="14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"/>
    </row>
    <row r="132" spans="1:41">
      <c r="A132" s="19"/>
      <c r="B132" s="10"/>
      <c r="C132" s="19"/>
      <c r="D132" s="19"/>
      <c r="E132" s="19"/>
      <c r="F132" s="19"/>
      <c r="G132" s="16"/>
      <c r="H132" s="19"/>
      <c r="L132" s="17"/>
      <c r="M132" s="16"/>
      <c r="N132" s="12"/>
      <c r="O132" s="11"/>
      <c r="P132" s="13"/>
      <c r="Q132" s="13"/>
      <c r="R132" s="13"/>
      <c r="S132" s="13"/>
      <c r="T132" s="13"/>
      <c r="U132" s="14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</row>
    <row r="133" spans="1:41">
      <c r="A133" s="19"/>
      <c r="B133" s="10"/>
      <c r="C133" s="19"/>
      <c r="D133" s="19"/>
      <c r="E133" s="19"/>
      <c r="F133" s="19"/>
      <c r="G133" s="16"/>
      <c r="H133" s="19"/>
      <c r="L133" s="17"/>
      <c r="M133" s="16"/>
      <c r="N133" s="12"/>
      <c r="O133" s="11"/>
      <c r="P133" s="13"/>
      <c r="Q133" s="13"/>
      <c r="R133" s="13"/>
      <c r="S133" s="13"/>
      <c r="T133" s="13"/>
      <c r="U133" s="14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</row>
    <row r="134" spans="1:41">
      <c r="A134" s="19"/>
      <c r="B134" s="10"/>
      <c r="C134" s="19"/>
      <c r="D134" s="19"/>
      <c r="E134" s="19"/>
      <c r="F134" s="19"/>
      <c r="G134" s="16"/>
      <c r="H134" s="19"/>
      <c r="L134" s="17"/>
      <c r="M134" s="16"/>
      <c r="N134" s="12"/>
      <c r="O134" s="11"/>
      <c r="P134" s="13"/>
      <c r="Q134" s="13"/>
      <c r="R134" s="13"/>
      <c r="S134" s="13"/>
      <c r="T134" s="13"/>
      <c r="U134" s="14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</row>
    <row r="135" spans="1:41">
      <c r="A135" s="19"/>
      <c r="B135" s="10"/>
      <c r="C135" s="19"/>
      <c r="D135" s="19"/>
      <c r="E135" s="19"/>
      <c r="F135" s="19"/>
      <c r="G135" s="16"/>
      <c r="H135" s="19"/>
      <c r="L135" s="17"/>
      <c r="M135" s="16"/>
      <c r="N135" s="12"/>
      <c r="O135" s="11"/>
      <c r="P135" s="13"/>
      <c r="Q135" s="13"/>
      <c r="R135" s="13"/>
      <c r="S135" s="13"/>
      <c r="T135" s="13"/>
      <c r="U135" s="14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"/>
    </row>
    <row r="136" spans="1:41">
      <c r="A136" s="19"/>
      <c r="B136" s="10"/>
      <c r="C136" s="19"/>
      <c r="D136" s="19"/>
      <c r="E136" s="19"/>
      <c r="F136" s="19"/>
      <c r="H136" s="19"/>
      <c r="L136" s="17"/>
      <c r="M136" s="16"/>
      <c r="N136" s="12"/>
      <c r="O136" s="11"/>
      <c r="P136" s="13"/>
      <c r="Q136" s="13"/>
      <c r="R136" s="13"/>
      <c r="S136" s="13"/>
      <c r="T136" s="13"/>
      <c r="U136" s="14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</row>
    <row r="137" spans="1:41">
      <c r="A137" s="19"/>
      <c r="B137" s="10"/>
      <c r="C137" s="19"/>
      <c r="D137" s="19"/>
      <c r="E137" s="19"/>
      <c r="F137" s="19"/>
      <c r="H137" s="19"/>
      <c r="L137" s="17"/>
      <c r="M137" s="16"/>
      <c r="N137" s="12"/>
      <c r="O137" s="11"/>
      <c r="P137" s="13"/>
      <c r="Q137" s="13"/>
      <c r="R137" s="13"/>
      <c r="S137" s="13"/>
      <c r="T137" s="13"/>
      <c r="U137" s="14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</row>
    <row r="138" spans="1:41">
      <c r="A138" s="19"/>
      <c r="B138" s="10"/>
      <c r="C138" s="19"/>
      <c r="D138" s="19"/>
      <c r="E138" s="19"/>
      <c r="F138" s="19"/>
      <c r="G138" s="16"/>
      <c r="H138" s="19"/>
      <c r="L138" s="17"/>
      <c r="M138" s="16"/>
      <c r="N138" s="12"/>
      <c r="O138" s="11"/>
      <c r="P138" s="13"/>
      <c r="Q138" s="13"/>
      <c r="R138" s="13"/>
      <c r="S138" s="13"/>
      <c r="T138" s="13"/>
      <c r="U138" s="14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"/>
    </row>
    <row r="139" spans="1:41">
      <c r="A139" s="19"/>
      <c r="B139" s="10"/>
      <c r="C139" s="19"/>
      <c r="D139" s="19"/>
      <c r="E139" s="19"/>
      <c r="F139" s="19"/>
      <c r="G139" s="16"/>
      <c r="H139" s="19"/>
      <c r="L139" s="17"/>
      <c r="M139" s="16"/>
      <c r="N139" s="12"/>
      <c r="O139" s="11"/>
      <c r="P139" s="13"/>
      <c r="Q139" s="13"/>
      <c r="R139" s="13"/>
      <c r="S139" s="13"/>
      <c r="T139" s="13"/>
      <c r="U139" s="14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</row>
    <row r="140" spans="1:41">
      <c r="A140" s="19"/>
      <c r="B140" s="10"/>
      <c r="C140" s="19"/>
      <c r="D140" s="19"/>
      <c r="E140" s="19"/>
      <c r="F140" s="19"/>
      <c r="H140" s="19"/>
      <c r="L140" s="17"/>
      <c r="M140" s="16"/>
      <c r="N140" s="12"/>
      <c r="O140" s="11"/>
      <c r="P140" s="13"/>
      <c r="Q140" s="13"/>
      <c r="R140" s="13"/>
      <c r="S140" s="13"/>
      <c r="T140" s="13"/>
      <c r="U140" s="14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</row>
    <row r="141" spans="1:41">
      <c r="A141" s="19"/>
      <c r="B141" s="10"/>
      <c r="C141" s="19"/>
      <c r="D141" s="19"/>
      <c r="E141" s="19"/>
      <c r="F141" s="19"/>
      <c r="G141" s="16"/>
      <c r="H141" s="19"/>
      <c r="L141" s="17"/>
      <c r="M141" s="16"/>
      <c r="N141" s="12"/>
      <c r="O141" s="11"/>
      <c r="P141" s="13"/>
      <c r="Q141" s="13"/>
      <c r="R141" s="13"/>
      <c r="S141" s="13"/>
      <c r="T141" s="13"/>
      <c r="U141" s="14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</row>
    <row r="142" spans="1:41">
      <c r="A142" s="19"/>
      <c r="B142" s="10"/>
      <c r="C142" s="19"/>
      <c r="D142" s="19"/>
      <c r="E142" s="19"/>
      <c r="F142" s="19"/>
      <c r="H142" s="19"/>
      <c r="L142" s="17"/>
      <c r="M142" s="16"/>
      <c r="N142" s="12"/>
      <c r="O142" s="11"/>
      <c r="P142" s="13"/>
      <c r="Q142" s="13"/>
      <c r="R142" s="13"/>
      <c r="S142" s="13"/>
      <c r="T142" s="13"/>
      <c r="U142" s="14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</row>
    <row r="143" spans="1:41">
      <c r="A143" s="19"/>
      <c r="B143" s="10"/>
      <c r="C143" s="19"/>
      <c r="D143" s="19"/>
      <c r="E143" s="19"/>
      <c r="F143" s="19"/>
      <c r="G143" s="16"/>
      <c r="H143" s="19"/>
      <c r="L143" s="17"/>
      <c r="M143" s="16"/>
      <c r="N143" s="12"/>
      <c r="O143" s="11"/>
      <c r="P143" s="13"/>
      <c r="Q143" s="13"/>
      <c r="R143" s="13"/>
      <c r="S143" s="13"/>
      <c r="T143" s="13"/>
      <c r="U143" s="14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</row>
    <row r="144" spans="1:41">
      <c r="A144" s="19"/>
      <c r="B144" s="10"/>
      <c r="C144" s="19"/>
      <c r="D144" s="19"/>
      <c r="E144" s="19"/>
      <c r="F144" s="19"/>
      <c r="H144" s="19"/>
      <c r="L144" s="17"/>
      <c r="M144" s="16"/>
      <c r="N144" s="12"/>
      <c r="O144" s="11"/>
      <c r="P144" s="13"/>
      <c r="Q144" s="13"/>
      <c r="R144" s="13"/>
      <c r="S144" s="13"/>
      <c r="T144" s="13"/>
      <c r="U144" s="14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</row>
    <row r="145" spans="1:41">
      <c r="A145" s="19"/>
      <c r="B145" s="10"/>
      <c r="C145" s="19"/>
      <c r="D145" s="19"/>
      <c r="E145" s="19"/>
      <c r="F145" s="19"/>
      <c r="H145" s="19"/>
      <c r="L145" s="17"/>
      <c r="M145" s="16"/>
      <c r="N145" s="12"/>
      <c r="O145" s="11"/>
      <c r="P145" s="13"/>
      <c r="Q145" s="13"/>
      <c r="R145" s="13"/>
      <c r="S145" s="13"/>
      <c r="T145" s="13"/>
      <c r="U145" s="14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</row>
    <row r="146" spans="1:41">
      <c r="A146" s="19"/>
      <c r="B146" s="10"/>
      <c r="C146" s="19"/>
      <c r="D146" s="19"/>
      <c r="E146" s="19"/>
      <c r="F146" s="19"/>
      <c r="H146" s="19"/>
      <c r="L146" s="17"/>
      <c r="M146" s="16"/>
      <c r="N146" s="12"/>
      <c r="O146" s="11"/>
      <c r="P146" s="13"/>
      <c r="Q146" s="13"/>
      <c r="R146" s="13"/>
      <c r="S146" s="13"/>
      <c r="T146" s="13"/>
      <c r="U146" s="14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"/>
    </row>
    <row r="147" spans="1:41">
      <c r="A147" s="19"/>
      <c r="B147" s="10"/>
      <c r="C147" s="19"/>
      <c r="D147" s="19"/>
      <c r="E147" s="19"/>
      <c r="F147" s="19"/>
      <c r="H147" s="19"/>
      <c r="L147" s="17"/>
      <c r="M147" s="16"/>
      <c r="N147" s="12"/>
      <c r="O147" s="11"/>
      <c r="P147" s="13"/>
      <c r="Q147" s="13"/>
      <c r="R147" s="13"/>
      <c r="S147" s="13"/>
      <c r="T147" s="13"/>
      <c r="U147" s="14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</row>
    <row r="148" spans="1:41">
      <c r="A148" s="19"/>
      <c r="B148" s="10"/>
      <c r="C148" s="19"/>
      <c r="D148" s="19"/>
      <c r="E148" s="19"/>
      <c r="F148" s="19"/>
      <c r="G148" s="16"/>
      <c r="H148" s="19"/>
      <c r="L148" s="17"/>
      <c r="M148" s="16"/>
      <c r="N148" s="12"/>
      <c r="O148" s="11"/>
      <c r="P148" s="13"/>
      <c r="Q148" s="13"/>
      <c r="R148" s="13"/>
      <c r="S148" s="13"/>
      <c r="T148" s="13"/>
      <c r="U148" s="14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</row>
    <row r="149" spans="1:41">
      <c r="A149" s="19"/>
      <c r="B149" s="10"/>
      <c r="C149" s="19"/>
      <c r="D149" s="19"/>
      <c r="E149" s="19"/>
      <c r="F149" s="19"/>
      <c r="H149" s="19"/>
      <c r="L149" s="17"/>
      <c r="M149" s="16"/>
      <c r="N149" s="12"/>
      <c r="O149" s="11"/>
      <c r="P149" s="13"/>
      <c r="Q149" s="13"/>
      <c r="R149" s="13"/>
      <c r="S149" s="13"/>
      <c r="T149" s="13"/>
      <c r="U149" s="14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</row>
    <row r="150" spans="1:41">
      <c r="A150" s="19"/>
      <c r="B150" s="10"/>
      <c r="C150" s="19"/>
      <c r="D150" s="19"/>
      <c r="E150" s="19"/>
      <c r="F150" s="19"/>
      <c r="H150" s="19"/>
      <c r="L150" s="17"/>
      <c r="M150" s="16"/>
      <c r="N150" s="12"/>
      <c r="O150" s="11"/>
      <c r="P150" s="13"/>
      <c r="Q150" s="13"/>
      <c r="R150" s="13"/>
      <c r="S150" s="13"/>
      <c r="T150" s="13"/>
      <c r="U150" s="14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</row>
    <row r="151" spans="1:41">
      <c r="A151" s="19"/>
      <c r="B151" s="10"/>
      <c r="C151" s="19"/>
      <c r="D151" s="19"/>
      <c r="E151" s="19"/>
      <c r="F151" s="19"/>
      <c r="G151" s="16"/>
      <c r="H151" s="19"/>
      <c r="L151" s="17"/>
      <c r="M151" s="16"/>
      <c r="N151" s="12"/>
      <c r="O151" s="11"/>
      <c r="P151" s="13"/>
      <c r="Q151" s="13"/>
      <c r="R151" s="13"/>
      <c r="S151" s="13"/>
      <c r="T151" s="13"/>
      <c r="U151" s="14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</row>
    <row r="152" spans="1:41">
      <c r="A152" s="19"/>
      <c r="B152" s="10"/>
      <c r="C152" s="19"/>
      <c r="D152" s="19"/>
      <c r="E152" s="19"/>
      <c r="F152" s="19"/>
      <c r="G152" s="16"/>
      <c r="H152" s="19"/>
      <c r="L152" s="17"/>
      <c r="M152" s="16"/>
      <c r="N152" s="12"/>
      <c r="O152" s="11"/>
      <c r="P152" s="13"/>
      <c r="Q152" s="13"/>
      <c r="R152" s="13"/>
      <c r="S152" s="13"/>
      <c r="T152" s="13"/>
      <c r="U152" s="14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</row>
    <row r="153" spans="1:41">
      <c r="A153" s="19"/>
      <c r="B153" s="10"/>
      <c r="C153" s="19"/>
      <c r="D153" s="19"/>
      <c r="E153" s="19"/>
      <c r="F153" s="19"/>
      <c r="H153" s="19"/>
      <c r="L153" s="17"/>
      <c r="M153" s="16"/>
      <c r="N153" s="12"/>
      <c r="O153" s="11"/>
      <c r="P153" s="13"/>
      <c r="Q153" s="13"/>
      <c r="R153" s="13"/>
      <c r="S153" s="13"/>
      <c r="T153" s="13"/>
      <c r="U153" s="14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</row>
    <row r="154" spans="1:41">
      <c r="A154" s="19"/>
      <c r="B154" s="10"/>
      <c r="C154" s="19"/>
      <c r="D154" s="19"/>
      <c r="E154" s="19"/>
      <c r="F154" s="19"/>
      <c r="H154" s="19"/>
      <c r="L154" s="17"/>
      <c r="M154" s="16"/>
      <c r="N154" s="12"/>
      <c r="O154" s="11"/>
      <c r="P154" s="13"/>
      <c r="Q154" s="13"/>
      <c r="R154" s="13"/>
      <c r="S154" s="13"/>
      <c r="T154" s="13"/>
      <c r="U154" s="14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</row>
    <row r="155" spans="1:41">
      <c r="A155" s="19"/>
      <c r="B155" s="10"/>
      <c r="C155" s="19"/>
      <c r="D155" s="19"/>
      <c r="E155" s="19"/>
      <c r="F155" s="19"/>
      <c r="G155" s="16"/>
      <c r="H155" s="19"/>
      <c r="L155" s="17"/>
      <c r="M155" s="16"/>
      <c r="N155" s="12"/>
      <c r="O155" s="11"/>
      <c r="P155" s="13"/>
      <c r="Q155" s="13"/>
      <c r="R155" s="13"/>
      <c r="S155" s="13"/>
      <c r="T155" s="13"/>
      <c r="U155" s="14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</row>
    <row r="156" spans="1:41">
      <c r="A156" s="19"/>
      <c r="B156" s="10"/>
      <c r="C156" s="19"/>
      <c r="D156" s="19"/>
      <c r="E156" s="19"/>
      <c r="F156" s="19"/>
      <c r="H156" s="19"/>
      <c r="L156" s="17"/>
      <c r="M156" s="16"/>
      <c r="N156" s="12"/>
      <c r="O156" s="11"/>
      <c r="P156" s="13"/>
      <c r="Q156" s="13"/>
      <c r="R156" s="13"/>
      <c r="S156" s="13"/>
      <c r="T156" s="13"/>
      <c r="U156" s="14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</row>
    <row r="157" spans="1:41">
      <c r="A157" s="19"/>
      <c r="B157" s="10"/>
      <c r="C157" s="19"/>
      <c r="D157" s="19"/>
      <c r="E157" s="19"/>
      <c r="F157" s="19"/>
      <c r="G157" s="16"/>
      <c r="H157" s="19"/>
      <c r="L157" s="17"/>
      <c r="M157" s="16"/>
      <c r="N157" s="12"/>
      <c r="O157" s="11"/>
      <c r="P157" s="13"/>
      <c r="Q157" s="13"/>
      <c r="R157" s="13"/>
      <c r="S157" s="13"/>
      <c r="T157" s="13"/>
      <c r="U157" s="14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"/>
    </row>
    <row r="158" spans="1:41">
      <c r="A158" s="19"/>
      <c r="B158" s="10"/>
      <c r="C158" s="19"/>
      <c r="D158" s="19"/>
      <c r="E158" s="19"/>
      <c r="F158" s="19"/>
      <c r="G158" s="16"/>
      <c r="H158" s="19"/>
      <c r="L158" s="17"/>
      <c r="M158" s="16"/>
      <c r="N158" s="12"/>
      <c r="O158" s="11"/>
      <c r="P158" s="13"/>
      <c r="Q158" s="13"/>
      <c r="R158" s="13"/>
      <c r="S158" s="13"/>
      <c r="T158" s="13"/>
      <c r="U158" s="14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</row>
    <row r="159" spans="1:41">
      <c r="A159" s="19"/>
      <c r="B159" s="10"/>
      <c r="C159" s="19"/>
      <c r="D159" s="19"/>
      <c r="E159" s="19"/>
      <c r="F159" s="19"/>
      <c r="H159" s="19"/>
      <c r="L159" s="17"/>
      <c r="M159" s="16"/>
      <c r="N159" s="12"/>
      <c r="O159" s="11"/>
      <c r="P159" s="13"/>
      <c r="Q159" s="13"/>
      <c r="R159" s="13"/>
      <c r="S159" s="13"/>
      <c r="T159" s="13"/>
      <c r="U159" s="14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</row>
    <row r="160" spans="1:41">
      <c r="A160" s="19"/>
      <c r="B160" s="10"/>
      <c r="C160" s="19"/>
      <c r="D160" s="19"/>
      <c r="E160" s="19"/>
      <c r="F160" s="19"/>
      <c r="G160" s="16"/>
      <c r="H160" s="19"/>
      <c r="L160" s="17"/>
      <c r="M160" s="16"/>
      <c r="N160" s="12"/>
      <c r="O160" s="11"/>
      <c r="P160" s="13"/>
      <c r="Q160" s="13"/>
      <c r="R160" s="13"/>
      <c r="S160" s="13"/>
      <c r="T160" s="13"/>
      <c r="U160" s="14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"/>
    </row>
    <row r="161" spans="1:40">
      <c r="A161" s="19"/>
      <c r="B161" s="10"/>
      <c r="C161" s="19"/>
      <c r="D161" s="19"/>
      <c r="E161" s="19"/>
      <c r="F161" s="19"/>
      <c r="H161" s="19"/>
      <c r="L161" s="17"/>
      <c r="M161" s="16"/>
      <c r="N161" s="12"/>
      <c r="O161" s="11"/>
      <c r="P161" s="13"/>
      <c r="Q161" s="13"/>
      <c r="R161" s="13"/>
      <c r="S161" s="13"/>
      <c r="T161" s="13"/>
      <c r="U161" s="14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</row>
    <row r="162" spans="1:40">
      <c r="A162" s="19"/>
      <c r="B162" s="10"/>
      <c r="C162" s="19"/>
      <c r="D162" s="19"/>
      <c r="E162" s="19"/>
      <c r="F162" s="19"/>
      <c r="H162" s="19"/>
      <c r="L162" s="17"/>
      <c r="M162" s="16"/>
      <c r="N162" s="12"/>
      <c r="O162" s="11"/>
      <c r="P162" s="13"/>
      <c r="Q162" s="13"/>
      <c r="R162" s="13"/>
      <c r="S162" s="13"/>
      <c r="T162" s="13"/>
      <c r="U162" s="14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</row>
    <row r="163" spans="1:40">
      <c r="A163" s="19"/>
      <c r="B163" s="10"/>
      <c r="C163" s="19"/>
      <c r="D163" s="19"/>
      <c r="E163" s="19"/>
      <c r="F163" s="19"/>
      <c r="H163" s="19"/>
      <c r="L163" s="17"/>
      <c r="M163" s="16"/>
      <c r="N163" s="12"/>
      <c r="O163" s="11"/>
      <c r="P163" s="13"/>
      <c r="Q163" s="13"/>
      <c r="R163" s="13"/>
      <c r="S163" s="13"/>
      <c r="T163" s="13"/>
      <c r="U163" s="14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</row>
    <row r="164" spans="1:40">
      <c r="A164" s="19"/>
      <c r="B164" s="10"/>
      <c r="C164" s="19"/>
      <c r="D164" s="19"/>
      <c r="E164" s="19"/>
      <c r="F164" s="19"/>
      <c r="H164" s="19"/>
      <c r="L164" s="17"/>
      <c r="M164" s="16"/>
      <c r="N164" s="12"/>
      <c r="O164" s="11"/>
      <c r="P164" s="13"/>
      <c r="Q164" s="13"/>
      <c r="R164" s="13"/>
      <c r="S164" s="13"/>
      <c r="T164" s="13"/>
      <c r="U164" s="14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</row>
    <row r="165" spans="1:40">
      <c r="A165" s="19"/>
      <c r="B165" s="10"/>
      <c r="C165" s="19"/>
      <c r="D165" s="19"/>
      <c r="E165" s="19"/>
      <c r="F165" s="19"/>
      <c r="H165" s="19"/>
      <c r="L165" s="17"/>
      <c r="M165" s="16"/>
      <c r="N165" s="12"/>
      <c r="O165" s="11"/>
      <c r="P165" s="13"/>
      <c r="Q165" s="13"/>
      <c r="R165" s="13"/>
      <c r="S165" s="13"/>
      <c r="T165" s="13"/>
      <c r="U165" s="14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</row>
    <row r="166" spans="1:40">
      <c r="A166" s="19"/>
      <c r="B166" s="10"/>
      <c r="C166" s="19"/>
      <c r="D166" s="19"/>
      <c r="E166" s="19"/>
      <c r="F166" s="19"/>
      <c r="G166" s="16"/>
      <c r="H166" s="19"/>
      <c r="L166" s="17"/>
      <c r="M166" s="16"/>
      <c r="N166" s="12"/>
      <c r="O166" s="11"/>
      <c r="P166" s="13"/>
      <c r="Q166" s="13"/>
      <c r="R166" s="13"/>
      <c r="S166" s="13"/>
      <c r="T166" s="13"/>
      <c r="U166" s="14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</row>
    <row r="167" spans="1:40">
      <c r="A167" s="19"/>
      <c r="B167" s="10"/>
      <c r="C167" s="19"/>
      <c r="D167" s="19"/>
      <c r="E167" s="19"/>
      <c r="F167" s="19"/>
      <c r="H167" s="19"/>
      <c r="L167" s="17"/>
      <c r="M167" s="16"/>
      <c r="N167" s="12"/>
      <c r="O167" s="11"/>
      <c r="P167" s="13"/>
      <c r="Q167" s="13"/>
      <c r="R167" s="13"/>
      <c r="S167" s="13"/>
      <c r="T167" s="13"/>
      <c r="U167" s="14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</row>
    <row r="168" spans="1:40">
      <c r="A168" s="19"/>
      <c r="B168" s="10"/>
      <c r="C168" s="19"/>
      <c r="D168" s="19"/>
      <c r="E168" s="19"/>
      <c r="F168" s="19"/>
      <c r="H168" s="19"/>
      <c r="L168" s="17"/>
      <c r="M168" s="16"/>
      <c r="N168" s="12"/>
      <c r="O168" s="11"/>
      <c r="P168" s="13"/>
      <c r="Q168" s="13"/>
      <c r="R168" s="13"/>
      <c r="S168" s="13"/>
      <c r="T168" s="13"/>
      <c r="U168" s="14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</row>
    <row r="169" spans="1:40">
      <c r="A169" s="19"/>
      <c r="B169" s="10"/>
      <c r="C169" s="19"/>
      <c r="D169" s="19"/>
      <c r="E169" s="19"/>
      <c r="F169" s="19"/>
      <c r="H169" s="19"/>
      <c r="L169" s="17"/>
      <c r="M169" s="16"/>
      <c r="N169" s="12"/>
      <c r="O169" s="11"/>
      <c r="P169" s="13"/>
      <c r="Q169" s="13"/>
      <c r="R169" s="13"/>
      <c r="S169" s="13"/>
      <c r="T169" s="13"/>
      <c r="U169" s="14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</row>
    <row r="170" spans="1:40">
      <c r="A170" s="19"/>
      <c r="B170" s="10"/>
      <c r="C170" s="19"/>
      <c r="D170" s="19"/>
      <c r="E170" s="19"/>
      <c r="F170" s="19"/>
      <c r="H170" s="19"/>
      <c r="L170" s="17"/>
      <c r="M170" s="16"/>
      <c r="N170" s="12"/>
      <c r="O170" s="11"/>
      <c r="P170" s="13"/>
      <c r="Q170" s="13"/>
      <c r="R170" s="13"/>
      <c r="S170" s="13"/>
      <c r="T170" s="13"/>
      <c r="U170" s="14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</row>
    <row r="171" spans="1:40">
      <c r="A171" s="19"/>
      <c r="B171" s="10"/>
      <c r="C171" s="19"/>
      <c r="D171" s="19"/>
      <c r="E171" s="19"/>
      <c r="F171" s="19"/>
      <c r="G171" s="16"/>
      <c r="H171" s="19"/>
      <c r="L171" s="17"/>
      <c r="M171" s="16"/>
      <c r="N171" s="12"/>
      <c r="O171" s="11"/>
      <c r="P171" s="13"/>
      <c r="Q171" s="13"/>
      <c r="R171" s="13"/>
      <c r="S171" s="13"/>
      <c r="T171" s="13"/>
      <c r="U171" s="14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</row>
    <row r="172" spans="1:40">
      <c r="A172" s="19"/>
      <c r="B172" s="10"/>
      <c r="C172" s="19"/>
      <c r="D172" s="19"/>
      <c r="E172" s="19"/>
      <c r="F172" s="19"/>
      <c r="G172" s="16"/>
      <c r="H172" s="19"/>
      <c r="L172" s="17"/>
      <c r="M172" s="16"/>
      <c r="N172" s="12"/>
      <c r="O172" s="11"/>
      <c r="P172" s="13"/>
      <c r="Q172" s="13"/>
      <c r="R172" s="13"/>
      <c r="S172" s="13"/>
      <c r="T172" s="13"/>
      <c r="U172" s="14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</row>
    <row r="173" spans="1:40">
      <c r="A173" s="19"/>
      <c r="B173" s="10"/>
      <c r="C173" s="19"/>
      <c r="D173" s="19"/>
      <c r="E173" s="19"/>
      <c r="F173" s="19"/>
      <c r="G173" s="16"/>
      <c r="H173" s="19"/>
      <c r="L173" s="17"/>
      <c r="M173" s="16"/>
      <c r="N173" s="12"/>
      <c r="O173" s="11"/>
      <c r="P173" s="13"/>
      <c r="Q173" s="13"/>
      <c r="R173" s="13"/>
      <c r="S173" s="13"/>
      <c r="T173" s="13"/>
      <c r="U173" s="14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</row>
    <row r="174" spans="1:40">
      <c r="A174" s="19"/>
      <c r="B174" s="10"/>
      <c r="C174" s="19"/>
      <c r="D174" s="19"/>
      <c r="E174" s="19"/>
      <c r="F174" s="19"/>
      <c r="H174" s="19"/>
      <c r="L174" s="17"/>
      <c r="M174" s="16"/>
      <c r="N174" s="12"/>
      <c r="O174" s="11"/>
      <c r="P174" s="13"/>
      <c r="Q174" s="13"/>
      <c r="R174" s="13"/>
      <c r="S174" s="13"/>
      <c r="T174" s="13"/>
      <c r="U174" s="14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</row>
    <row r="175" spans="1:40">
      <c r="A175" s="19"/>
      <c r="B175" s="10"/>
      <c r="C175" s="19"/>
      <c r="D175" s="19"/>
      <c r="E175" s="19"/>
      <c r="F175" s="19"/>
      <c r="H175" s="19"/>
      <c r="L175" s="17"/>
      <c r="M175" s="16"/>
      <c r="N175" s="12"/>
      <c r="O175" s="11"/>
      <c r="P175" s="13"/>
      <c r="Q175" s="13"/>
      <c r="R175" s="13"/>
      <c r="S175" s="13"/>
      <c r="T175" s="13"/>
      <c r="U175" s="14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</row>
    <row r="176" spans="1:40">
      <c r="A176" s="19"/>
      <c r="B176" s="10"/>
      <c r="C176" s="19"/>
      <c r="D176" s="19"/>
      <c r="E176" s="19"/>
      <c r="F176" s="19"/>
      <c r="G176" s="16"/>
      <c r="H176" s="19"/>
      <c r="L176" s="17"/>
      <c r="M176" s="16"/>
      <c r="N176" s="12"/>
      <c r="O176" s="11"/>
      <c r="P176" s="13"/>
      <c r="Q176" s="13"/>
      <c r="R176" s="13"/>
      <c r="S176" s="13"/>
      <c r="T176" s="13"/>
      <c r="U176" s="14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</row>
    <row r="177" spans="1:32" ht="17">
      <c r="D177" s="23"/>
      <c r="E177" s="23"/>
      <c r="F177" s="19"/>
      <c r="L177" s="17"/>
      <c r="M177" s="16"/>
      <c r="N177" s="12"/>
      <c r="O177" s="11"/>
      <c r="P177" s="13"/>
      <c r="Q177" s="13"/>
      <c r="R177" s="13"/>
      <c r="S177" s="13"/>
      <c r="T177" s="13"/>
      <c r="U177" s="14"/>
      <c r="Z177" s="20"/>
      <c r="AF177" s="20"/>
    </row>
    <row r="178" spans="1:32" ht="17">
      <c r="D178" s="23"/>
      <c r="E178" s="23"/>
      <c r="F178" s="19"/>
      <c r="L178" s="17"/>
      <c r="M178" s="16"/>
      <c r="N178" s="12"/>
      <c r="O178" s="11"/>
      <c r="P178" s="13"/>
      <c r="Q178" s="13"/>
      <c r="R178" s="13"/>
      <c r="S178" s="13"/>
      <c r="T178" s="13"/>
      <c r="U178" s="14"/>
      <c r="Z178" s="20"/>
      <c r="AF178" s="20"/>
    </row>
    <row r="179" spans="1:32" ht="17">
      <c r="D179" s="23"/>
      <c r="E179" s="23"/>
      <c r="F179" s="19"/>
      <c r="L179" s="17"/>
      <c r="M179" s="16"/>
      <c r="N179" s="12"/>
      <c r="O179" s="11"/>
      <c r="P179" s="13"/>
      <c r="Q179" s="13"/>
      <c r="R179" s="13"/>
      <c r="S179" s="13"/>
      <c r="T179" s="13"/>
      <c r="U179" s="14"/>
      <c r="Z179" s="20"/>
      <c r="AF179" s="20"/>
    </row>
    <row r="180" spans="1:32" ht="17">
      <c r="D180" s="23"/>
      <c r="E180" s="23"/>
      <c r="F180" s="19"/>
      <c r="L180" s="17"/>
      <c r="M180" s="16"/>
      <c r="N180" s="12"/>
      <c r="O180" s="11"/>
      <c r="P180" s="13"/>
      <c r="Q180" s="13"/>
      <c r="R180" s="13"/>
      <c r="S180" s="13"/>
      <c r="T180" s="13"/>
      <c r="U180" s="14"/>
      <c r="Z180" s="20"/>
      <c r="AF180" s="20"/>
    </row>
    <row r="181" spans="1:32" ht="17">
      <c r="D181" s="23"/>
      <c r="E181" s="23"/>
      <c r="F181" s="19"/>
      <c r="L181" s="17"/>
      <c r="M181" s="16"/>
      <c r="N181" s="12"/>
      <c r="O181" s="11"/>
      <c r="P181" s="13"/>
      <c r="Q181" s="13"/>
      <c r="R181" s="13"/>
      <c r="S181" s="13"/>
      <c r="T181" s="13"/>
      <c r="U181" s="14"/>
      <c r="Z181" s="20"/>
      <c r="AF181" s="20"/>
    </row>
    <row r="182" spans="1:32" ht="17">
      <c r="D182" s="23"/>
      <c r="E182" s="23"/>
      <c r="F182" s="19"/>
      <c r="L182" s="17"/>
      <c r="M182" s="16"/>
      <c r="N182" s="12"/>
      <c r="O182" s="11"/>
      <c r="P182" s="13"/>
      <c r="Q182" s="13"/>
      <c r="R182" s="13"/>
      <c r="S182" s="13"/>
      <c r="T182" s="13"/>
      <c r="U182" s="14"/>
      <c r="Z182" s="20"/>
      <c r="AF182" s="20"/>
    </row>
    <row r="183" spans="1:32" ht="17">
      <c r="A183" s="23"/>
      <c r="D183" s="23"/>
      <c r="E183" s="23"/>
      <c r="F183" s="19"/>
      <c r="L183" s="17"/>
      <c r="M183" s="16"/>
      <c r="N183" s="12"/>
      <c r="O183" s="11"/>
      <c r="P183" s="13"/>
      <c r="Q183" s="13"/>
      <c r="R183" s="13"/>
      <c r="S183" s="13"/>
      <c r="T183" s="13"/>
      <c r="U183" s="14"/>
      <c r="Z183" s="20"/>
      <c r="AF183" s="20"/>
    </row>
    <row r="184" spans="1:32" ht="17">
      <c r="A184" s="23"/>
      <c r="D184" s="23"/>
      <c r="E184" s="23"/>
      <c r="F184" s="19"/>
      <c r="L184" s="17"/>
      <c r="M184" s="16"/>
      <c r="N184" s="12"/>
      <c r="O184" s="11"/>
      <c r="P184" s="13"/>
      <c r="Q184" s="13"/>
      <c r="R184" s="13"/>
      <c r="S184" s="13"/>
      <c r="T184" s="13"/>
      <c r="U184" s="14"/>
      <c r="Z184" s="20"/>
      <c r="AF184" s="20"/>
    </row>
    <row r="185" spans="1:32" ht="17">
      <c r="A185" s="23"/>
      <c r="D185" s="23"/>
      <c r="E185" s="23"/>
      <c r="F185" s="19"/>
      <c r="L185" s="17"/>
      <c r="M185" s="16"/>
      <c r="N185" s="12"/>
      <c r="O185" s="11"/>
      <c r="P185" s="13"/>
      <c r="Q185" s="13"/>
      <c r="R185" s="13"/>
      <c r="S185" s="13"/>
      <c r="T185" s="13"/>
      <c r="U185" s="14"/>
      <c r="Z185" s="20"/>
      <c r="AF185" s="20"/>
    </row>
    <row r="186" spans="1:32" ht="17">
      <c r="A186" s="23"/>
      <c r="D186" s="23"/>
      <c r="E186" s="23"/>
      <c r="F186" s="19"/>
      <c r="L186" s="17"/>
      <c r="M186" s="16"/>
      <c r="N186" s="12"/>
      <c r="O186" s="11"/>
      <c r="P186" s="13"/>
      <c r="Q186" s="13"/>
      <c r="R186" s="13"/>
      <c r="S186" s="13"/>
      <c r="T186" s="13"/>
      <c r="U186" s="14"/>
      <c r="Z186" s="20"/>
      <c r="AF186" s="20"/>
    </row>
    <row r="187" spans="1:32" ht="17">
      <c r="A187" s="23"/>
      <c r="D187" s="23"/>
      <c r="E187" s="23"/>
      <c r="F187" s="19"/>
      <c r="L187" s="17"/>
      <c r="M187" s="16"/>
      <c r="N187" s="12"/>
      <c r="O187" s="11"/>
      <c r="P187" s="13"/>
      <c r="Q187" s="13"/>
      <c r="R187" s="13"/>
      <c r="S187" s="13"/>
      <c r="T187" s="13"/>
      <c r="U187" s="14"/>
      <c r="Z187" s="20"/>
      <c r="AF187" s="20"/>
    </row>
    <row r="188" spans="1:32" ht="17">
      <c r="A188" s="23"/>
      <c r="D188" s="23"/>
      <c r="E188" s="23"/>
      <c r="F188" s="19"/>
      <c r="L188" s="17"/>
      <c r="M188" s="16"/>
      <c r="N188" s="12"/>
      <c r="O188" s="11"/>
      <c r="P188" s="13"/>
      <c r="Q188" s="13"/>
      <c r="R188" s="13"/>
      <c r="S188" s="13"/>
      <c r="T188" s="13"/>
      <c r="U188" s="14"/>
    </row>
    <row r="189" spans="1:32" ht="17">
      <c r="A189" s="23"/>
      <c r="D189" s="23"/>
      <c r="E189" s="23"/>
      <c r="F189" s="19"/>
      <c r="L189" s="17"/>
      <c r="M189" s="16"/>
      <c r="N189" s="12"/>
      <c r="O189" s="11"/>
      <c r="P189" s="13"/>
      <c r="Q189" s="13"/>
      <c r="R189" s="13"/>
      <c r="S189" s="13"/>
      <c r="T189" s="13"/>
      <c r="U189" s="14"/>
      <c r="Z189" s="20"/>
      <c r="AF189" s="20"/>
    </row>
    <row r="190" spans="1:32" ht="17">
      <c r="D190" s="23"/>
      <c r="E190" s="23"/>
      <c r="F190" s="19"/>
      <c r="L190" s="17"/>
      <c r="M190" s="16"/>
      <c r="N190" s="12"/>
      <c r="O190" s="11"/>
      <c r="R190" s="13"/>
      <c r="S190" s="13"/>
      <c r="T190" s="13"/>
      <c r="U190" s="14"/>
      <c r="Z190" s="20"/>
      <c r="AF190" s="20"/>
    </row>
    <row r="191" spans="1:32" ht="17">
      <c r="D191" s="23"/>
      <c r="E191" s="23"/>
      <c r="F191" s="19"/>
      <c r="L191" s="17"/>
      <c r="M191" s="16"/>
      <c r="N191" s="12"/>
      <c r="O191" s="11"/>
      <c r="R191" s="13"/>
      <c r="S191" s="13"/>
      <c r="T191" s="13"/>
      <c r="U191" s="14"/>
      <c r="Z191" s="20"/>
      <c r="AF191" s="20"/>
    </row>
    <row r="192" spans="1:32" ht="17">
      <c r="D192" s="23"/>
      <c r="E192" s="23"/>
      <c r="F192" s="19"/>
      <c r="L192" s="17"/>
      <c r="M192" s="16"/>
      <c r="N192" s="12"/>
      <c r="O192" s="11"/>
      <c r="R192" s="13"/>
      <c r="S192" s="13"/>
      <c r="T192" s="13"/>
      <c r="U192" s="14"/>
      <c r="Z192" s="20"/>
      <c r="AF192" s="20"/>
    </row>
    <row r="193" spans="1:41" ht="17">
      <c r="D193" s="23"/>
      <c r="E193" s="23"/>
      <c r="F193" s="19"/>
      <c r="L193" s="17"/>
      <c r="M193" s="16"/>
      <c r="N193" s="12"/>
      <c r="O193" s="11"/>
      <c r="R193" s="13"/>
      <c r="S193" s="13"/>
      <c r="T193" s="13"/>
      <c r="U193" s="14"/>
      <c r="AF193" s="20"/>
    </row>
    <row r="194" spans="1:41" ht="17">
      <c r="D194" s="23"/>
      <c r="E194" s="23"/>
      <c r="F194" s="19"/>
      <c r="L194" s="17"/>
      <c r="M194" s="16"/>
      <c r="N194" s="12"/>
      <c r="O194" s="11"/>
      <c r="R194" s="13"/>
      <c r="S194" s="13"/>
      <c r="T194" s="13"/>
      <c r="U194" s="14"/>
      <c r="Z194" s="20"/>
      <c r="AF194" s="20"/>
    </row>
    <row r="195" spans="1:41" ht="17">
      <c r="D195" s="23"/>
      <c r="E195" s="23"/>
      <c r="F195" s="19"/>
      <c r="L195" s="17"/>
      <c r="M195" s="16"/>
      <c r="N195" s="12"/>
      <c r="O195" s="11"/>
      <c r="R195" s="13"/>
      <c r="S195" s="13"/>
      <c r="T195" s="13"/>
      <c r="U195" s="14"/>
      <c r="Z195" s="20"/>
      <c r="AF195" s="20"/>
    </row>
    <row r="196" spans="1:41" ht="17">
      <c r="D196" s="23"/>
      <c r="E196" s="23"/>
      <c r="F196" s="19"/>
      <c r="L196" s="17"/>
      <c r="M196" s="16"/>
      <c r="N196" s="12"/>
      <c r="O196" s="11"/>
      <c r="R196" s="13"/>
      <c r="S196" s="13"/>
      <c r="T196" s="13"/>
      <c r="U196" s="14"/>
      <c r="Z196" s="20"/>
      <c r="AF196" s="20"/>
    </row>
    <row r="197" spans="1:41">
      <c r="A197" s="19"/>
      <c r="B197" s="10"/>
      <c r="C197" s="19"/>
      <c r="D197" s="19"/>
      <c r="E197" s="19"/>
      <c r="F197" s="19"/>
      <c r="H197" s="19"/>
      <c r="L197" s="17"/>
      <c r="M197" s="16"/>
      <c r="N197" s="12"/>
      <c r="O197" s="11"/>
      <c r="P197" s="13"/>
      <c r="Q197" s="13"/>
      <c r="R197" s="13"/>
      <c r="S197" s="13"/>
      <c r="T197" s="13"/>
      <c r="U197" s="14"/>
      <c r="V197" s="20"/>
      <c r="W197" s="20"/>
      <c r="X197" s="20"/>
      <c r="Y197" s="25"/>
      <c r="Z197" s="25"/>
      <c r="AA197" s="20"/>
      <c r="AB197" s="20"/>
      <c r="AC197" s="26"/>
      <c r="AD197" s="26"/>
      <c r="AE197" s="26"/>
      <c r="AF197" s="26"/>
      <c r="AG197" s="26"/>
      <c r="AH197" s="26"/>
      <c r="AI197" s="26"/>
      <c r="AJ197" s="21"/>
      <c r="AK197" s="21"/>
      <c r="AL197" s="21"/>
      <c r="AM197" s="21"/>
      <c r="AN197" s="21"/>
    </row>
    <row r="198" spans="1:41">
      <c r="A198" s="19"/>
      <c r="B198" s="10"/>
      <c r="C198" s="19"/>
      <c r="D198" s="19"/>
      <c r="E198" s="19"/>
      <c r="F198" s="19"/>
      <c r="G198" s="16"/>
      <c r="H198" s="19"/>
      <c r="L198" s="17"/>
      <c r="M198" s="16"/>
      <c r="N198" s="12"/>
      <c r="O198" s="11"/>
      <c r="P198" s="13"/>
      <c r="Q198" s="13"/>
      <c r="R198" s="13"/>
      <c r="S198" s="13"/>
      <c r="T198" s="13"/>
      <c r="U198" s="14"/>
      <c r="V198" s="20"/>
      <c r="W198" s="20"/>
      <c r="X198" s="20"/>
      <c r="Y198" s="20"/>
      <c r="Z198" s="20"/>
      <c r="AA198" s="20"/>
      <c r="AB198" s="20"/>
      <c r="AC198" s="26"/>
      <c r="AD198" s="26"/>
      <c r="AE198" s="26"/>
      <c r="AF198" s="26"/>
      <c r="AG198" s="26"/>
      <c r="AH198" s="26"/>
      <c r="AI198" s="26"/>
      <c r="AJ198" s="21"/>
      <c r="AK198" s="21"/>
      <c r="AL198" s="21"/>
      <c r="AM198" s="21"/>
      <c r="AN198" s="21"/>
    </row>
    <row r="199" spans="1:41">
      <c r="A199" s="19"/>
      <c r="B199" s="10"/>
      <c r="C199" s="19"/>
      <c r="D199" s="19"/>
      <c r="E199" s="19"/>
      <c r="F199" s="19"/>
      <c r="G199" s="16"/>
      <c r="H199" s="19"/>
      <c r="L199" s="17"/>
      <c r="M199" s="16"/>
      <c r="N199" s="12"/>
      <c r="O199" s="11"/>
      <c r="P199" s="13"/>
      <c r="Q199" s="13"/>
      <c r="R199" s="13"/>
      <c r="S199" s="13"/>
      <c r="T199" s="13"/>
      <c r="U199" s="14"/>
      <c r="V199" s="20"/>
      <c r="W199" s="20"/>
      <c r="X199" s="20"/>
      <c r="Y199" s="25"/>
      <c r="Z199" s="25"/>
      <c r="AA199" s="20"/>
      <c r="AB199" s="20"/>
      <c r="AC199" s="26"/>
      <c r="AD199" s="26"/>
      <c r="AE199" s="26"/>
      <c r="AF199" s="26"/>
      <c r="AG199" s="26"/>
      <c r="AH199" s="26"/>
      <c r="AI199" s="26"/>
      <c r="AJ199" s="21"/>
      <c r="AK199" s="21"/>
      <c r="AL199" s="21"/>
      <c r="AM199" s="21"/>
      <c r="AN199" s="21"/>
    </row>
    <row r="200" spans="1:41">
      <c r="A200" s="19"/>
      <c r="B200" s="10"/>
      <c r="C200" s="19"/>
      <c r="D200" s="19"/>
      <c r="E200" s="19"/>
      <c r="F200" s="19"/>
      <c r="H200" s="19"/>
      <c r="L200" s="17"/>
      <c r="M200" s="16"/>
      <c r="N200" s="12"/>
      <c r="O200" s="11"/>
      <c r="P200" s="13"/>
      <c r="Q200" s="13"/>
      <c r="R200" s="13"/>
      <c r="S200" s="13"/>
      <c r="T200" s="13"/>
      <c r="U200" s="14"/>
      <c r="V200" s="20"/>
      <c r="W200" s="20"/>
      <c r="X200" s="20"/>
      <c r="Y200" s="25"/>
      <c r="Z200" s="25"/>
      <c r="AA200" s="20"/>
      <c r="AB200" s="20"/>
      <c r="AC200" s="26"/>
      <c r="AD200" s="26"/>
      <c r="AE200" s="26"/>
      <c r="AF200" s="26"/>
      <c r="AG200" s="26"/>
      <c r="AH200" s="26"/>
      <c r="AI200" s="26"/>
      <c r="AJ200" s="21"/>
      <c r="AK200" s="21"/>
      <c r="AL200" s="21"/>
      <c r="AM200" s="21"/>
      <c r="AN200" s="21"/>
    </row>
    <row r="201" spans="1:41">
      <c r="A201" s="19"/>
      <c r="B201" s="10"/>
      <c r="C201" s="19"/>
      <c r="D201" s="19"/>
      <c r="E201" s="19"/>
      <c r="F201" s="19"/>
      <c r="H201" s="19"/>
      <c r="L201" s="17"/>
      <c r="M201" s="16"/>
      <c r="N201" s="12"/>
      <c r="O201" s="11"/>
      <c r="P201" s="13"/>
      <c r="Q201" s="13"/>
      <c r="R201" s="13"/>
      <c r="S201" s="13"/>
      <c r="T201" s="13"/>
      <c r="U201" s="14"/>
      <c r="V201" s="20"/>
      <c r="W201" s="20"/>
      <c r="X201" s="20"/>
      <c r="Y201" s="25"/>
      <c r="Z201" s="25"/>
      <c r="AA201" s="20"/>
      <c r="AB201" s="20"/>
      <c r="AC201" s="26"/>
      <c r="AD201" s="26"/>
      <c r="AE201" s="26"/>
      <c r="AF201" s="26"/>
      <c r="AG201" s="26"/>
      <c r="AH201" s="26"/>
      <c r="AI201" s="26"/>
      <c r="AJ201" s="21"/>
      <c r="AK201" s="21"/>
      <c r="AL201" s="21"/>
      <c r="AM201" s="21"/>
      <c r="AN201" s="21"/>
      <c r="AO201" s="2"/>
    </row>
    <row r="202" spans="1:41">
      <c r="A202" s="19"/>
      <c r="B202" s="10"/>
      <c r="C202" s="19"/>
      <c r="D202" s="19"/>
      <c r="E202" s="19"/>
      <c r="F202" s="19"/>
      <c r="G202" s="16"/>
      <c r="H202" s="19"/>
      <c r="L202" s="17"/>
      <c r="M202" s="16"/>
      <c r="N202" s="12"/>
      <c r="O202" s="11"/>
      <c r="P202" s="16"/>
      <c r="Q202" s="16"/>
      <c r="R202" s="13"/>
      <c r="S202" s="13"/>
      <c r="T202" s="13"/>
      <c r="U202" s="14"/>
      <c r="V202" s="20"/>
      <c r="W202" s="20"/>
      <c r="X202" s="20"/>
      <c r="Y202" s="25"/>
      <c r="Z202" s="20"/>
      <c r="AA202" s="20"/>
      <c r="AB202" s="20"/>
      <c r="AC202" s="26"/>
      <c r="AD202" s="26"/>
      <c r="AE202" s="26"/>
      <c r="AF202" s="26"/>
      <c r="AG202" s="26"/>
      <c r="AH202" s="26"/>
      <c r="AI202" s="26"/>
      <c r="AJ202" s="21"/>
      <c r="AK202" s="21"/>
      <c r="AL202" s="21"/>
      <c r="AM202" s="21"/>
      <c r="AN202" s="21"/>
    </row>
    <row r="203" spans="1:41">
      <c r="A203" s="19"/>
      <c r="B203" s="10"/>
      <c r="C203" s="19"/>
      <c r="D203" s="19"/>
      <c r="E203" s="19"/>
      <c r="F203" s="19"/>
      <c r="H203" s="19"/>
      <c r="L203" s="17"/>
      <c r="M203" s="16"/>
      <c r="N203" s="12"/>
      <c r="O203" s="11"/>
      <c r="P203" s="13"/>
      <c r="Q203" s="13"/>
      <c r="R203" s="13"/>
      <c r="S203" s="13"/>
      <c r="T203" s="13"/>
      <c r="U203" s="14"/>
      <c r="V203" s="20"/>
      <c r="W203" s="20"/>
      <c r="X203" s="20"/>
      <c r="Y203" s="25"/>
      <c r="Z203" s="25"/>
      <c r="AA203" s="20"/>
      <c r="AB203" s="20"/>
      <c r="AC203" s="26"/>
      <c r="AD203" s="26"/>
      <c r="AE203" s="26"/>
      <c r="AF203" s="26"/>
      <c r="AG203" s="26"/>
      <c r="AH203" s="26"/>
      <c r="AI203" s="26"/>
      <c r="AJ203" s="21"/>
      <c r="AK203" s="21"/>
      <c r="AL203" s="21"/>
      <c r="AM203" s="21"/>
      <c r="AN203" s="21"/>
      <c r="AO203" s="2"/>
    </row>
    <row r="204" spans="1:41">
      <c r="A204" s="19"/>
      <c r="B204" s="10"/>
      <c r="C204" s="19"/>
      <c r="D204" s="19"/>
      <c r="E204" s="19"/>
      <c r="F204" s="19"/>
      <c r="H204" s="19"/>
      <c r="L204" s="17"/>
      <c r="M204" s="16"/>
      <c r="N204" s="12"/>
      <c r="O204" s="11"/>
      <c r="P204" s="13"/>
      <c r="Q204" s="13"/>
      <c r="R204" s="13"/>
      <c r="S204" s="13"/>
      <c r="T204" s="13"/>
      <c r="U204" s="14"/>
      <c r="V204" s="20"/>
      <c r="W204" s="20"/>
      <c r="X204" s="20"/>
      <c r="Y204" s="25"/>
      <c r="Z204" s="25"/>
      <c r="AA204" s="20"/>
      <c r="AB204" s="20"/>
      <c r="AC204" s="26"/>
      <c r="AD204" s="26"/>
      <c r="AE204" s="26"/>
      <c r="AF204" s="26"/>
      <c r="AG204" s="26"/>
      <c r="AH204" s="26"/>
      <c r="AI204" s="26"/>
      <c r="AJ204" s="21"/>
      <c r="AK204" s="21"/>
      <c r="AL204" s="21"/>
      <c r="AM204" s="21"/>
      <c r="AN204" s="21"/>
    </row>
    <row r="205" spans="1:41">
      <c r="A205" s="19"/>
      <c r="B205" s="10"/>
      <c r="D205" s="24"/>
      <c r="E205" s="24"/>
      <c r="L205" s="17"/>
      <c r="M205" s="16"/>
      <c r="N205" s="12"/>
      <c r="O205" s="11"/>
      <c r="R205" s="13"/>
      <c r="S205" s="13"/>
      <c r="T205" s="13"/>
      <c r="U205" s="14"/>
      <c r="V205" s="13"/>
      <c r="W205" s="14"/>
      <c r="X205" s="20"/>
      <c r="Y205" s="25"/>
      <c r="AF205" s="20"/>
    </row>
    <row r="206" spans="1:41">
      <c r="A206" s="24"/>
      <c r="B206" s="19"/>
      <c r="C206" s="24"/>
      <c r="D206" s="19"/>
      <c r="E206" s="24"/>
      <c r="F206" s="19"/>
      <c r="G206" s="24"/>
      <c r="H206" s="19"/>
      <c r="L206" s="17"/>
      <c r="M206" s="16"/>
      <c r="N206" s="12"/>
      <c r="O206" s="11"/>
      <c r="R206" s="13"/>
      <c r="S206" s="13"/>
      <c r="T206" s="13"/>
      <c r="U206" s="14"/>
      <c r="V206" s="13"/>
      <c r="W206" s="14"/>
      <c r="X206" s="20"/>
      <c r="Y206" s="25"/>
      <c r="AF206" s="4"/>
    </row>
    <row r="207" spans="1:41">
      <c r="A207" s="19"/>
      <c r="B207" s="10"/>
      <c r="C207" s="19"/>
      <c r="D207" s="19"/>
      <c r="E207" s="19"/>
      <c r="F207" s="19"/>
      <c r="H207" s="19"/>
      <c r="L207" s="17"/>
      <c r="M207" s="16"/>
      <c r="N207" s="12"/>
      <c r="O207" s="11"/>
      <c r="P207" s="13"/>
      <c r="Q207" s="13"/>
      <c r="R207" s="13"/>
      <c r="S207" s="13"/>
      <c r="T207" s="13"/>
      <c r="U207" s="14"/>
      <c r="V207" s="20"/>
      <c r="W207" s="20"/>
      <c r="X207" s="20"/>
      <c r="Y207" s="25"/>
      <c r="Z207" s="25"/>
      <c r="AA207" s="20"/>
      <c r="AB207" s="20"/>
      <c r="AC207" s="26"/>
      <c r="AD207" s="26"/>
      <c r="AE207" s="26"/>
      <c r="AF207" s="26"/>
      <c r="AG207" s="26"/>
      <c r="AH207" s="26"/>
      <c r="AI207" s="26"/>
      <c r="AJ207" s="21"/>
      <c r="AK207" s="21"/>
      <c r="AL207" s="21"/>
      <c r="AM207" s="21"/>
      <c r="AN207" s="21"/>
    </row>
    <row r="208" spans="1:41">
      <c r="A208" s="19"/>
      <c r="B208" s="10"/>
      <c r="C208" s="19"/>
      <c r="D208" s="19"/>
      <c r="E208" s="19"/>
      <c r="F208" s="19"/>
      <c r="G208" s="16"/>
      <c r="H208" s="19"/>
      <c r="L208" s="17"/>
      <c r="M208" s="16"/>
      <c r="N208" s="12"/>
      <c r="O208" s="11"/>
      <c r="P208" s="13"/>
      <c r="Q208" s="13"/>
      <c r="R208" s="13"/>
      <c r="S208" s="13"/>
      <c r="T208" s="13"/>
      <c r="U208" s="14"/>
      <c r="V208" s="20"/>
      <c r="W208" s="20"/>
      <c r="X208" s="20"/>
      <c r="Y208" s="20"/>
      <c r="Z208" s="20"/>
      <c r="AA208" s="20"/>
      <c r="AB208" s="20"/>
      <c r="AC208" s="26"/>
      <c r="AD208" s="26"/>
      <c r="AE208" s="26"/>
      <c r="AF208" s="26"/>
      <c r="AG208" s="26"/>
      <c r="AH208" s="26"/>
      <c r="AI208" s="26"/>
      <c r="AJ208" s="21"/>
      <c r="AK208" s="21"/>
      <c r="AL208" s="21"/>
      <c r="AM208" s="21"/>
      <c r="AN208" s="21"/>
    </row>
    <row r="209" spans="1:41">
      <c r="A209" s="19"/>
      <c r="B209" s="10"/>
      <c r="C209" s="19"/>
      <c r="D209" s="19"/>
      <c r="E209" s="19"/>
      <c r="F209" s="19"/>
      <c r="H209" s="19"/>
      <c r="L209" s="17"/>
      <c r="M209" s="16"/>
      <c r="N209" s="12"/>
      <c r="O209" s="11"/>
      <c r="P209" s="13"/>
      <c r="Q209" s="13"/>
      <c r="R209" s="13"/>
      <c r="S209" s="13"/>
      <c r="T209" s="13"/>
      <c r="U209" s="14"/>
      <c r="V209" s="20"/>
      <c r="W209" s="20"/>
      <c r="X209" s="20"/>
      <c r="Y209" s="25"/>
      <c r="Z209" s="25"/>
      <c r="AA209" s="20"/>
      <c r="AB209" s="20"/>
      <c r="AC209" s="26"/>
      <c r="AD209" s="26"/>
      <c r="AE209" s="26"/>
      <c r="AF209" s="26"/>
      <c r="AG209" s="26"/>
      <c r="AH209" s="26"/>
      <c r="AI209" s="26"/>
      <c r="AJ209" s="21"/>
      <c r="AK209" s="21"/>
      <c r="AL209" s="21"/>
      <c r="AM209" s="21"/>
      <c r="AN209" s="21"/>
    </row>
    <row r="210" spans="1:41">
      <c r="A210" s="19"/>
      <c r="B210" s="10"/>
      <c r="C210" s="19"/>
      <c r="D210" s="19"/>
      <c r="E210" s="19"/>
      <c r="F210" s="19"/>
      <c r="H210" s="19"/>
      <c r="L210" s="17"/>
      <c r="M210" s="16"/>
      <c r="N210" s="12"/>
      <c r="O210" s="11"/>
      <c r="P210" s="13"/>
      <c r="Q210" s="13"/>
      <c r="R210" s="13"/>
      <c r="S210" s="13"/>
      <c r="T210" s="13"/>
      <c r="U210" s="14"/>
      <c r="V210" s="20"/>
      <c r="W210" s="20"/>
      <c r="X210" s="20"/>
      <c r="Y210" s="25"/>
      <c r="Z210" s="25"/>
      <c r="AA210" s="20"/>
      <c r="AB210" s="20"/>
      <c r="AC210" s="26"/>
      <c r="AD210" s="26"/>
      <c r="AE210" s="26"/>
      <c r="AF210" s="26"/>
      <c r="AG210" s="26"/>
      <c r="AH210" s="26"/>
      <c r="AI210" s="26"/>
      <c r="AJ210" s="21"/>
      <c r="AK210" s="21"/>
      <c r="AL210" s="21"/>
      <c r="AM210" s="21"/>
      <c r="AN210" s="21"/>
    </row>
    <row r="211" spans="1:41">
      <c r="A211" s="19"/>
      <c r="B211" s="10"/>
      <c r="C211" s="19"/>
      <c r="D211" s="19"/>
      <c r="E211" s="19"/>
      <c r="F211" s="19"/>
      <c r="G211" s="16"/>
      <c r="H211" s="19"/>
      <c r="L211" s="17"/>
      <c r="M211" s="16"/>
      <c r="N211" s="12"/>
      <c r="O211" s="11"/>
      <c r="P211" s="13"/>
      <c r="Q211" s="13"/>
      <c r="R211" s="13"/>
      <c r="S211" s="13"/>
      <c r="T211" s="13"/>
      <c r="U211" s="14"/>
      <c r="V211" s="20"/>
      <c r="W211" s="20"/>
      <c r="X211" s="20"/>
      <c r="Y211" s="20"/>
      <c r="Z211" s="20"/>
      <c r="AA211" s="20"/>
      <c r="AB211" s="20"/>
      <c r="AC211" s="26"/>
      <c r="AD211" s="26"/>
      <c r="AE211" s="26"/>
      <c r="AF211" s="26"/>
      <c r="AG211" s="26"/>
      <c r="AH211" s="26"/>
      <c r="AI211" s="26"/>
      <c r="AJ211" s="21"/>
      <c r="AK211" s="21"/>
      <c r="AL211" s="21"/>
      <c r="AM211" s="21"/>
      <c r="AN211" s="21"/>
    </row>
    <row r="212" spans="1:41">
      <c r="A212" s="19"/>
      <c r="B212" s="10"/>
      <c r="C212" s="19"/>
      <c r="D212" s="19"/>
      <c r="E212" s="19"/>
      <c r="F212" s="19"/>
      <c r="G212" s="16"/>
      <c r="H212" s="19"/>
      <c r="L212" s="17"/>
      <c r="M212" s="16"/>
      <c r="N212" s="12"/>
      <c r="O212" s="11"/>
      <c r="P212" s="13"/>
      <c r="Q212" s="13"/>
      <c r="R212" s="13"/>
      <c r="S212" s="13"/>
      <c r="T212" s="13"/>
      <c r="U212" s="14"/>
      <c r="V212" s="20"/>
      <c r="W212" s="20"/>
      <c r="X212" s="20"/>
      <c r="Y212" s="25"/>
      <c r="Z212" s="25"/>
      <c r="AA212" s="20"/>
      <c r="AB212" s="20"/>
      <c r="AC212" s="26"/>
      <c r="AD212" s="26"/>
      <c r="AE212" s="26"/>
      <c r="AF212" s="26"/>
      <c r="AG212" s="26"/>
      <c r="AH212" s="26"/>
      <c r="AI212" s="26"/>
      <c r="AJ212" s="21"/>
      <c r="AK212" s="21"/>
      <c r="AL212" s="21"/>
      <c r="AM212" s="21"/>
      <c r="AN212" s="21"/>
    </row>
    <row r="213" spans="1:41">
      <c r="A213" s="19"/>
      <c r="B213" s="10"/>
      <c r="C213" s="19"/>
      <c r="D213" s="19"/>
      <c r="E213" s="19"/>
      <c r="F213" s="19"/>
      <c r="H213" s="19"/>
      <c r="L213" s="17"/>
      <c r="M213" s="16"/>
      <c r="N213" s="12"/>
      <c r="O213" s="11"/>
      <c r="P213" s="13"/>
      <c r="Q213" s="13"/>
      <c r="R213" s="13"/>
      <c r="S213" s="13"/>
      <c r="T213" s="13"/>
      <c r="U213" s="14"/>
      <c r="V213" s="20"/>
      <c r="W213" s="20"/>
      <c r="X213" s="20"/>
      <c r="Y213" s="25"/>
      <c r="Z213" s="25"/>
      <c r="AA213" s="20"/>
      <c r="AB213" s="20"/>
      <c r="AC213" s="26"/>
      <c r="AD213" s="26"/>
      <c r="AE213" s="26"/>
      <c r="AF213" s="26"/>
      <c r="AG213" s="26"/>
      <c r="AH213" s="26"/>
      <c r="AI213" s="26"/>
      <c r="AJ213" s="21"/>
      <c r="AK213" s="21"/>
      <c r="AL213" s="21"/>
      <c r="AM213" s="21"/>
      <c r="AN213" s="21"/>
      <c r="AO213" s="2"/>
    </row>
    <row r="214" spans="1:41">
      <c r="A214" s="19"/>
      <c r="B214" s="10"/>
      <c r="C214" s="19"/>
      <c r="D214" s="19"/>
      <c r="E214" s="19"/>
      <c r="F214" s="19"/>
      <c r="G214" s="16"/>
      <c r="H214" s="19"/>
      <c r="L214" s="17"/>
      <c r="M214" s="16"/>
      <c r="N214" s="12"/>
      <c r="O214" s="11"/>
      <c r="P214" s="13"/>
      <c r="Q214" s="13"/>
      <c r="R214" s="13"/>
      <c r="S214" s="13"/>
      <c r="T214" s="13"/>
      <c r="U214" s="14"/>
      <c r="V214" s="20"/>
      <c r="W214" s="20"/>
      <c r="X214" s="20"/>
      <c r="Y214" s="25"/>
      <c r="Z214" s="25"/>
      <c r="AA214" s="20"/>
      <c r="AB214" s="20"/>
      <c r="AC214" s="26"/>
      <c r="AD214" s="26"/>
      <c r="AE214" s="26"/>
      <c r="AF214" s="26"/>
      <c r="AG214" s="26"/>
      <c r="AH214" s="26"/>
      <c r="AI214" s="26"/>
      <c r="AJ214" s="21"/>
      <c r="AK214" s="21"/>
      <c r="AL214" s="21"/>
      <c r="AM214" s="21"/>
      <c r="AN214" s="21"/>
    </row>
    <row r="215" spans="1:41">
      <c r="A215" s="19"/>
      <c r="B215" s="10"/>
      <c r="C215" s="19"/>
      <c r="D215" s="19"/>
      <c r="E215" s="19"/>
      <c r="F215" s="19"/>
      <c r="G215" s="16"/>
      <c r="H215" s="19"/>
      <c r="L215" s="17"/>
      <c r="M215" s="16"/>
      <c r="N215" s="12"/>
      <c r="O215" s="11"/>
      <c r="P215" s="16"/>
      <c r="Q215" s="16"/>
      <c r="R215" s="13"/>
      <c r="S215" s="13"/>
      <c r="T215" s="13"/>
      <c r="U215" s="14"/>
      <c r="V215" s="20"/>
      <c r="W215" s="20"/>
      <c r="X215" s="20"/>
      <c r="Y215" s="25"/>
      <c r="Z215" s="20"/>
      <c r="AA215" s="20"/>
      <c r="AB215" s="20"/>
      <c r="AC215" s="26"/>
      <c r="AD215" s="26"/>
      <c r="AE215" s="26"/>
      <c r="AF215" s="26"/>
      <c r="AG215" s="26"/>
      <c r="AH215" s="26"/>
      <c r="AI215" s="26"/>
      <c r="AJ215" s="21"/>
      <c r="AK215" s="21"/>
      <c r="AL215" s="21"/>
      <c r="AM215" s="21"/>
      <c r="AN215" s="21"/>
    </row>
    <row r="216" spans="1:41">
      <c r="A216" s="19"/>
      <c r="B216" s="10"/>
      <c r="C216" s="19"/>
      <c r="D216" s="19"/>
      <c r="E216" s="19"/>
      <c r="F216" s="19"/>
      <c r="G216" s="16"/>
      <c r="H216" s="19"/>
      <c r="L216" s="17"/>
      <c r="M216" s="16"/>
      <c r="N216" s="12"/>
      <c r="O216" s="11"/>
      <c r="P216" s="13"/>
      <c r="Q216" s="13"/>
      <c r="R216" s="13"/>
      <c r="S216" s="13"/>
      <c r="T216" s="13"/>
      <c r="U216" s="14"/>
      <c r="V216" s="20"/>
      <c r="W216" s="20"/>
      <c r="X216" s="20"/>
      <c r="Y216" s="20"/>
      <c r="Z216" s="20"/>
      <c r="AA216" s="20"/>
      <c r="AB216" s="20"/>
      <c r="AC216" s="26"/>
      <c r="AD216" s="26"/>
      <c r="AE216" s="26"/>
      <c r="AF216" s="26"/>
      <c r="AG216" s="26"/>
      <c r="AH216" s="26"/>
      <c r="AI216" s="26"/>
      <c r="AJ216" s="21"/>
      <c r="AK216" s="21"/>
      <c r="AL216" s="21"/>
      <c r="AM216" s="21"/>
      <c r="AN216" s="21"/>
    </row>
    <row r="217" spans="1:41">
      <c r="A217" s="19"/>
      <c r="B217" s="10"/>
      <c r="C217" s="19"/>
      <c r="D217" s="19"/>
      <c r="E217" s="19"/>
      <c r="F217" s="19"/>
      <c r="H217" s="19"/>
      <c r="L217" s="17"/>
      <c r="M217" s="16"/>
      <c r="N217" s="12"/>
      <c r="O217" s="11"/>
      <c r="P217" s="13"/>
      <c r="Q217" s="13"/>
      <c r="R217" s="13"/>
      <c r="S217" s="13"/>
      <c r="T217" s="13"/>
      <c r="U217" s="14"/>
      <c r="V217" s="20"/>
      <c r="W217" s="20"/>
      <c r="X217" s="20"/>
      <c r="Y217" s="25"/>
      <c r="Z217" s="25"/>
      <c r="AA217" s="20"/>
      <c r="AB217" s="20"/>
      <c r="AC217" s="26"/>
      <c r="AD217" s="26"/>
      <c r="AE217" s="26"/>
      <c r="AF217" s="26"/>
      <c r="AG217" s="26"/>
      <c r="AH217" s="26"/>
      <c r="AI217" s="26"/>
      <c r="AJ217" s="21"/>
      <c r="AK217" s="21"/>
      <c r="AL217" s="21"/>
      <c r="AM217" s="21"/>
      <c r="AN217" s="21"/>
      <c r="AO217" s="2"/>
    </row>
    <row r="218" spans="1:41">
      <c r="A218" s="19"/>
      <c r="B218" s="10"/>
      <c r="C218" s="19"/>
      <c r="D218" s="19"/>
      <c r="E218" s="19"/>
      <c r="F218" s="19"/>
      <c r="H218" s="19"/>
      <c r="L218" s="17"/>
      <c r="M218" s="16"/>
      <c r="N218" s="12"/>
      <c r="O218" s="11"/>
      <c r="P218" s="13"/>
      <c r="Q218" s="13"/>
      <c r="R218" s="13"/>
      <c r="S218" s="13"/>
      <c r="T218" s="13"/>
      <c r="U218" s="14"/>
      <c r="V218" s="20"/>
      <c r="W218" s="20"/>
      <c r="X218" s="20"/>
      <c r="Y218" s="25"/>
      <c r="Z218" s="25"/>
      <c r="AA218" s="20"/>
      <c r="AB218" s="20"/>
      <c r="AC218" s="26"/>
      <c r="AD218" s="26"/>
      <c r="AE218" s="26"/>
      <c r="AF218" s="26"/>
      <c r="AG218" s="26"/>
      <c r="AH218" s="26"/>
      <c r="AI218" s="26"/>
      <c r="AJ218" s="21"/>
      <c r="AK218" s="21"/>
      <c r="AL218" s="21"/>
      <c r="AM218" s="21"/>
      <c r="AN218" s="21"/>
    </row>
    <row r="219" spans="1:41">
      <c r="A219" s="19"/>
      <c r="B219" s="10"/>
      <c r="C219" s="19"/>
      <c r="D219" s="19"/>
      <c r="E219" s="19"/>
      <c r="F219" s="19"/>
      <c r="G219" s="16"/>
      <c r="H219" s="19"/>
      <c r="L219" s="17"/>
      <c r="M219" s="16"/>
      <c r="N219" s="12"/>
      <c r="O219" s="11"/>
      <c r="P219" s="13"/>
      <c r="Q219" s="13"/>
      <c r="R219" s="13"/>
      <c r="S219" s="13"/>
      <c r="T219" s="13"/>
      <c r="U219" s="14"/>
      <c r="V219" s="20"/>
      <c r="W219" s="20"/>
      <c r="X219" s="20"/>
      <c r="Y219" s="20"/>
      <c r="Z219" s="20"/>
      <c r="AA219" s="20"/>
      <c r="AB219" s="20"/>
      <c r="AC219" s="26"/>
      <c r="AD219" s="26"/>
      <c r="AE219" s="26"/>
      <c r="AF219" s="26"/>
      <c r="AG219" s="26"/>
      <c r="AH219" s="26"/>
      <c r="AI219" s="26"/>
      <c r="AJ219" s="21"/>
      <c r="AK219" s="21"/>
      <c r="AL219" s="21"/>
      <c r="AM219" s="21"/>
      <c r="AN219" s="21"/>
    </row>
    <row r="220" spans="1:41">
      <c r="A220" s="19"/>
      <c r="B220" s="10"/>
      <c r="C220" s="19"/>
      <c r="D220" s="19"/>
      <c r="E220" s="19"/>
      <c r="F220" s="19"/>
      <c r="G220" s="16"/>
      <c r="H220" s="19"/>
      <c r="L220" s="17"/>
      <c r="M220" s="16"/>
      <c r="N220" s="12"/>
      <c r="O220" s="11"/>
      <c r="P220" s="16"/>
      <c r="Q220" s="16"/>
      <c r="R220" s="13"/>
      <c r="S220" s="13"/>
      <c r="T220" s="13"/>
      <c r="U220" s="14"/>
      <c r="V220" s="20"/>
      <c r="W220" s="20"/>
      <c r="X220" s="20"/>
      <c r="Y220" s="25"/>
      <c r="Z220" s="20"/>
      <c r="AA220" s="20"/>
      <c r="AB220" s="20"/>
      <c r="AC220" s="26"/>
      <c r="AD220" s="26"/>
      <c r="AE220" s="26"/>
      <c r="AF220" s="26"/>
      <c r="AG220" s="26"/>
      <c r="AH220" s="26"/>
      <c r="AI220" s="26"/>
      <c r="AJ220" s="21"/>
      <c r="AK220" s="21"/>
      <c r="AL220" s="21"/>
      <c r="AM220" s="21"/>
      <c r="AN220" s="21"/>
    </row>
    <row r="221" spans="1:41">
      <c r="A221" s="19"/>
      <c r="B221" s="10"/>
      <c r="C221" s="19"/>
      <c r="D221" s="19"/>
      <c r="E221" s="19"/>
      <c r="F221" s="19"/>
      <c r="G221" s="16"/>
      <c r="H221" s="19"/>
      <c r="L221" s="17"/>
      <c r="M221" s="16"/>
      <c r="N221" s="12"/>
      <c r="O221" s="11"/>
      <c r="P221" s="13"/>
      <c r="Q221" s="13"/>
      <c r="R221" s="13"/>
      <c r="S221" s="13"/>
      <c r="T221" s="13"/>
      <c r="U221" s="14"/>
      <c r="V221" s="20"/>
      <c r="W221" s="20"/>
      <c r="X221" s="20"/>
      <c r="Y221" s="25"/>
      <c r="Z221" s="20"/>
      <c r="AA221" s="20"/>
      <c r="AB221" s="20"/>
      <c r="AC221" s="26"/>
      <c r="AD221" s="26"/>
      <c r="AE221" s="26"/>
      <c r="AF221" s="26"/>
      <c r="AG221" s="26"/>
      <c r="AH221" s="26"/>
      <c r="AI221" s="26"/>
      <c r="AJ221" s="21"/>
      <c r="AK221" s="21"/>
      <c r="AL221" s="21"/>
      <c r="AM221" s="21"/>
      <c r="AN221" s="21"/>
    </row>
    <row r="222" spans="1:41">
      <c r="A222" s="19"/>
      <c r="B222" s="10"/>
      <c r="C222" s="19"/>
      <c r="D222" s="19"/>
      <c r="E222" s="19"/>
      <c r="F222" s="19"/>
      <c r="H222" s="19"/>
      <c r="L222" s="17"/>
      <c r="M222" s="16"/>
      <c r="N222" s="12"/>
      <c r="O222" s="11"/>
      <c r="P222" s="16"/>
      <c r="Q222" s="16"/>
      <c r="R222" s="13"/>
      <c r="S222" s="13"/>
      <c r="T222" s="13"/>
      <c r="U222" s="14"/>
      <c r="V222" s="20"/>
      <c r="W222" s="20"/>
      <c r="X222" s="20"/>
      <c r="Y222" s="25"/>
      <c r="Z222" s="25"/>
      <c r="AA222" s="20"/>
      <c r="AB222" s="20"/>
      <c r="AC222" s="26"/>
      <c r="AD222" s="26"/>
      <c r="AE222" s="26"/>
      <c r="AF222" s="26"/>
      <c r="AG222" s="26"/>
      <c r="AH222" s="26"/>
      <c r="AI222" s="26"/>
      <c r="AJ222" s="21"/>
      <c r="AK222" s="21"/>
      <c r="AL222" s="21"/>
      <c r="AM222" s="21"/>
      <c r="AN222" s="21"/>
    </row>
    <row r="223" spans="1:41">
      <c r="A223" s="19"/>
      <c r="B223" s="10"/>
      <c r="C223" s="19"/>
      <c r="D223" s="19"/>
      <c r="E223" s="19"/>
      <c r="F223" s="19"/>
      <c r="G223" s="16"/>
      <c r="H223" s="19"/>
      <c r="L223" s="17"/>
      <c r="M223" s="16"/>
      <c r="N223" s="12"/>
      <c r="O223" s="11"/>
      <c r="P223" s="13"/>
      <c r="Q223" s="13"/>
      <c r="R223" s="13"/>
      <c r="S223" s="13"/>
      <c r="T223" s="13"/>
      <c r="U223" s="14"/>
      <c r="V223" s="20"/>
      <c r="W223" s="20"/>
      <c r="X223" s="20"/>
      <c r="Y223" s="20"/>
      <c r="Z223" s="20"/>
      <c r="AA223" s="20"/>
      <c r="AB223" s="20"/>
      <c r="AC223" s="26"/>
      <c r="AD223" s="26"/>
      <c r="AE223" s="26"/>
      <c r="AF223" s="26"/>
      <c r="AG223" s="26"/>
      <c r="AH223" s="26"/>
      <c r="AI223" s="26"/>
      <c r="AJ223" s="21"/>
      <c r="AK223" s="21"/>
      <c r="AL223" s="21"/>
      <c r="AM223" s="21"/>
      <c r="AN223" s="21"/>
    </row>
    <row r="224" spans="1:41">
      <c r="A224" s="19"/>
      <c r="B224" s="10"/>
      <c r="C224" s="19"/>
      <c r="D224" s="19"/>
      <c r="E224" s="19"/>
      <c r="F224" s="19"/>
      <c r="H224" s="19"/>
      <c r="L224" s="17"/>
      <c r="M224" s="16"/>
      <c r="N224" s="12"/>
      <c r="O224" s="11"/>
      <c r="P224" s="16"/>
      <c r="Q224" s="16"/>
      <c r="R224" s="13"/>
      <c r="S224" s="13"/>
      <c r="T224" s="13"/>
      <c r="U224" s="14"/>
      <c r="V224" s="20"/>
      <c r="W224" s="20"/>
      <c r="X224" s="20"/>
      <c r="Y224" s="25"/>
      <c r="Z224" s="25"/>
      <c r="AA224" s="20"/>
      <c r="AB224" s="20"/>
      <c r="AC224" s="26"/>
      <c r="AD224" s="26"/>
      <c r="AE224" s="26"/>
      <c r="AF224" s="26"/>
      <c r="AG224" s="26"/>
      <c r="AH224" s="26"/>
      <c r="AI224" s="26"/>
      <c r="AJ224" s="21"/>
      <c r="AK224" s="21"/>
      <c r="AL224" s="21"/>
      <c r="AM224" s="21"/>
      <c r="AN224" s="21"/>
    </row>
    <row r="225" spans="1:41">
      <c r="A225" s="19"/>
      <c r="B225" s="10"/>
      <c r="C225" s="19"/>
      <c r="D225" s="19"/>
      <c r="E225" s="19"/>
      <c r="F225" s="19"/>
      <c r="G225" s="16"/>
      <c r="H225" s="19"/>
      <c r="L225" s="17"/>
      <c r="M225" s="16"/>
      <c r="N225" s="12"/>
      <c r="O225" s="11"/>
      <c r="P225" s="13"/>
      <c r="Q225" s="13"/>
      <c r="R225" s="13"/>
      <c r="S225" s="13"/>
      <c r="T225" s="13"/>
      <c r="U225" s="14"/>
      <c r="V225" s="20"/>
      <c r="W225" s="20"/>
      <c r="X225" s="20"/>
      <c r="Y225" s="20"/>
      <c r="Z225" s="20"/>
      <c r="AA225" s="20"/>
      <c r="AB225" s="20"/>
      <c r="AC225" s="26"/>
      <c r="AD225" s="26"/>
      <c r="AE225" s="26"/>
      <c r="AF225" s="26"/>
      <c r="AG225" s="26"/>
      <c r="AH225" s="26"/>
      <c r="AI225" s="26"/>
      <c r="AJ225" s="21"/>
      <c r="AK225" s="21"/>
      <c r="AL225" s="21"/>
      <c r="AM225" s="21"/>
      <c r="AN225" s="21"/>
    </row>
    <row r="226" spans="1:41" ht="17">
      <c r="A226" s="19"/>
      <c r="B226" s="10"/>
      <c r="D226" s="23"/>
      <c r="E226" s="23"/>
      <c r="F226" s="19"/>
      <c r="L226" s="17"/>
      <c r="M226" s="16"/>
      <c r="N226" s="12"/>
      <c r="O226" s="11"/>
      <c r="P226" s="16"/>
      <c r="Q226" s="16"/>
      <c r="R226" s="13"/>
      <c r="S226" s="13"/>
      <c r="T226" s="13"/>
      <c r="U226" s="14"/>
      <c r="V226" s="13"/>
      <c r="W226" s="14"/>
      <c r="X226" s="20"/>
      <c r="Y226" s="25"/>
      <c r="Z226" s="25"/>
      <c r="AF226" s="20"/>
    </row>
    <row r="227" spans="1:41" ht="17">
      <c r="A227" s="27"/>
      <c r="B227" s="10"/>
      <c r="D227" s="23"/>
      <c r="E227" s="23"/>
      <c r="F227" s="19"/>
      <c r="L227" s="17"/>
      <c r="M227" s="16"/>
      <c r="N227" s="12"/>
      <c r="O227" s="11"/>
      <c r="R227" s="13"/>
      <c r="S227" s="13"/>
      <c r="T227" s="13"/>
      <c r="U227" s="14"/>
      <c r="V227" s="13"/>
      <c r="W227" s="14"/>
      <c r="X227" s="20"/>
      <c r="Y227" s="25"/>
      <c r="Z227" s="25"/>
      <c r="AF227" s="20"/>
    </row>
    <row r="228" spans="1:41" ht="17">
      <c r="A228" s="27"/>
      <c r="B228" s="10"/>
      <c r="D228" s="23"/>
      <c r="E228" s="23"/>
      <c r="F228" s="19"/>
      <c r="L228" s="17"/>
      <c r="M228" s="16"/>
      <c r="N228" s="12"/>
      <c r="O228" s="11"/>
      <c r="R228" s="13"/>
      <c r="S228" s="13"/>
      <c r="T228" s="13"/>
      <c r="U228" s="14"/>
      <c r="V228" s="13"/>
      <c r="W228" s="14"/>
      <c r="X228" s="20"/>
      <c r="Y228" s="25"/>
      <c r="Z228" s="25"/>
      <c r="AF228" s="20"/>
    </row>
    <row r="229" spans="1:41" ht="17">
      <c r="A229" s="27"/>
      <c r="B229" s="10"/>
      <c r="D229" s="23"/>
      <c r="E229" s="23"/>
      <c r="F229" s="19"/>
      <c r="L229" s="17"/>
      <c r="M229" s="16"/>
      <c r="N229" s="12"/>
      <c r="O229" s="11"/>
      <c r="R229" s="13"/>
      <c r="S229" s="13"/>
      <c r="T229" s="13"/>
      <c r="U229" s="14"/>
      <c r="V229" s="13"/>
      <c r="W229" s="14"/>
      <c r="X229" s="20"/>
      <c r="Y229" s="25"/>
      <c r="AF229" s="20"/>
    </row>
    <row r="230" spans="1:41" ht="17">
      <c r="A230" s="27"/>
      <c r="B230" s="10"/>
      <c r="D230" s="23"/>
      <c r="E230" s="23"/>
      <c r="F230" s="19"/>
      <c r="L230" s="17"/>
      <c r="M230" s="16"/>
      <c r="N230" s="12"/>
      <c r="O230" s="11"/>
      <c r="R230" s="13"/>
      <c r="S230" s="13"/>
      <c r="T230" s="13"/>
      <c r="U230" s="14"/>
      <c r="V230" s="13"/>
      <c r="W230" s="14"/>
      <c r="X230" s="20"/>
      <c r="Y230" s="25"/>
      <c r="AF230" s="20"/>
    </row>
    <row r="231" spans="1:41" ht="17">
      <c r="A231" s="27"/>
      <c r="B231" s="10"/>
      <c r="D231" s="23"/>
      <c r="E231" s="23"/>
      <c r="F231" s="19"/>
      <c r="L231" s="17"/>
      <c r="M231" s="16"/>
      <c r="N231" s="12"/>
      <c r="O231" s="11"/>
      <c r="R231" s="13"/>
      <c r="S231" s="13"/>
      <c r="T231" s="13"/>
      <c r="U231" s="14"/>
      <c r="V231" s="13"/>
      <c r="W231" s="14"/>
      <c r="X231" s="20"/>
      <c r="Y231" s="25"/>
      <c r="AF231" s="20"/>
    </row>
    <row r="232" spans="1:41" ht="17">
      <c r="A232" s="27"/>
      <c r="B232" s="10"/>
      <c r="D232" s="23"/>
      <c r="E232" s="23"/>
      <c r="F232" s="19"/>
      <c r="L232" s="17"/>
      <c r="M232" s="16"/>
      <c r="N232" s="12"/>
      <c r="O232" s="11"/>
      <c r="R232" s="13"/>
      <c r="S232" s="13"/>
      <c r="T232" s="13"/>
      <c r="U232" s="14"/>
      <c r="V232" s="13"/>
      <c r="W232" s="14"/>
      <c r="X232" s="20"/>
      <c r="Y232" s="25"/>
      <c r="AF232" s="20"/>
    </row>
    <row r="233" spans="1:41" ht="17">
      <c r="A233" s="27"/>
      <c r="B233" s="10"/>
      <c r="D233" s="23"/>
      <c r="E233" s="23"/>
      <c r="F233" s="19"/>
      <c r="L233" s="17"/>
      <c r="M233" s="16"/>
      <c r="N233" s="12"/>
      <c r="O233" s="11"/>
      <c r="R233" s="13"/>
      <c r="S233" s="13"/>
      <c r="T233" s="13"/>
      <c r="U233" s="14"/>
      <c r="V233" s="13"/>
      <c r="W233" s="14"/>
      <c r="X233" s="20"/>
      <c r="Y233" s="25"/>
      <c r="AF233" s="20"/>
    </row>
    <row r="234" spans="1:41">
      <c r="A234" s="19"/>
      <c r="B234" s="10"/>
      <c r="C234" s="19"/>
      <c r="D234" s="19"/>
      <c r="E234" s="19"/>
      <c r="F234" s="19"/>
      <c r="G234" s="16"/>
      <c r="H234" s="19"/>
      <c r="L234" s="17"/>
      <c r="M234" s="16"/>
      <c r="N234" s="12"/>
      <c r="O234" s="11"/>
      <c r="P234" s="13"/>
      <c r="Q234" s="13"/>
      <c r="R234" s="13"/>
      <c r="S234" s="13"/>
      <c r="T234" s="13"/>
      <c r="U234" s="14"/>
      <c r="V234" s="20"/>
      <c r="W234" s="20"/>
      <c r="X234" s="20"/>
      <c r="Y234" s="20"/>
      <c r="Z234" s="20"/>
      <c r="AA234" s="20"/>
      <c r="AB234" s="20"/>
      <c r="AC234" s="26"/>
      <c r="AD234" s="26"/>
      <c r="AE234" s="26"/>
      <c r="AF234" s="26"/>
      <c r="AG234" s="26"/>
      <c r="AH234" s="26"/>
      <c r="AI234" s="26"/>
      <c r="AJ234" s="21"/>
      <c r="AK234" s="21"/>
      <c r="AL234" s="21"/>
      <c r="AM234" s="21"/>
      <c r="AN234" s="21"/>
    </row>
    <row r="235" spans="1:41">
      <c r="A235" s="19"/>
      <c r="B235" s="10"/>
      <c r="C235" s="19"/>
      <c r="D235" s="19"/>
      <c r="E235" s="19"/>
      <c r="F235" s="19"/>
      <c r="H235" s="19"/>
      <c r="L235" s="17"/>
      <c r="M235" s="16"/>
      <c r="N235" s="12"/>
      <c r="O235" s="11"/>
      <c r="P235" s="13"/>
      <c r="Q235" s="13"/>
      <c r="R235" s="13"/>
      <c r="S235" s="13"/>
      <c r="T235" s="13"/>
      <c r="U235" s="14"/>
      <c r="V235" s="20"/>
      <c r="W235" s="20"/>
      <c r="X235" s="20"/>
      <c r="Y235" s="25"/>
      <c r="Z235" s="25"/>
      <c r="AA235" s="20"/>
      <c r="AB235" s="20"/>
      <c r="AC235" s="26"/>
      <c r="AD235" s="26"/>
      <c r="AE235" s="26"/>
      <c r="AF235" s="26"/>
      <c r="AG235" s="26"/>
      <c r="AH235" s="26"/>
      <c r="AI235" s="26"/>
      <c r="AJ235" s="21"/>
      <c r="AK235" s="21"/>
      <c r="AL235" s="21"/>
      <c r="AM235" s="21"/>
      <c r="AN235" s="21"/>
      <c r="AO235" s="2"/>
    </row>
    <row r="236" spans="1:41">
      <c r="A236" s="19"/>
      <c r="B236" s="10"/>
      <c r="C236" s="19"/>
      <c r="D236" s="19"/>
      <c r="E236" s="19"/>
      <c r="F236" s="19"/>
      <c r="H236" s="19"/>
      <c r="L236" s="17"/>
      <c r="M236" s="16"/>
      <c r="N236" s="12"/>
      <c r="O236" s="11"/>
      <c r="P236" s="13"/>
      <c r="Q236" s="13"/>
      <c r="R236" s="13"/>
      <c r="S236" s="13"/>
      <c r="T236" s="13"/>
      <c r="U236" s="14"/>
      <c r="V236" s="20"/>
      <c r="W236" s="20"/>
      <c r="X236" s="20"/>
      <c r="Y236" s="25"/>
      <c r="Z236" s="25"/>
      <c r="AA236" s="20"/>
      <c r="AB236" s="20"/>
      <c r="AC236" s="26"/>
      <c r="AD236" s="26"/>
      <c r="AE236" s="26"/>
      <c r="AF236" s="26"/>
      <c r="AG236" s="26"/>
      <c r="AH236" s="26"/>
      <c r="AI236" s="26"/>
      <c r="AJ236" s="21"/>
      <c r="AK236" s="21"/>
      <c r="AL236" s="21"/>
      <c r="AM236" s="21"/>
      <c r="AN236" s="21"/>
    </row>
    <row r="237" spans="1:41">
      <c r="T237" s="13"/>
      <c r="U237" s="13"/>
      <c r="V237" s="13"/>
      <c r="W237" s="14"/>
    </row>
  </sheetData>
  <autoFilter ref="A1:AO236" xr:uid="{16843238-F2E7-D14E-9B82-A1B83154327C}">
    <sortState xmlns:xlrd2="http://schemas.microsoft.com/office/spreadsheetml/2017/richdata2" ref="A3:AO236">
      <sortCondition descending="1" ref="Z1:Z236"/>
    </sortState>
  </autoFilter>
  <sortState xmlns:xlrd2="http://schemas.microsoft.com/office/spreadsheetml/2017/richdata2" ref="A2:AP238">
    <sortCondition ref="A2:A238"/>
    <sortCondition descending="1" ref="B2:B238"/>
    <sortCondition ref="J2:J2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352A-D464-224F-A3B0-5007E0D7BA33}">
  <dimension ref="A3:J87"/>
  <sheetViews>
    <sheetView topLeftCell="C1" zoomScale="82" zoomScaleNormal="82" workbookViewId="0">
      <selection activeCell="K96" sqref="K96"/>
    </sheetView>
  </sheetViews>
  <sheetFormatPr baseColWidth="10" defaultRowHeight="16"/>
  <cols>
    <col min="1" max="1" width="11.33203125" bestFit="1" customWidth="1"/>
    <col min="2" max="2" width="41.83203125" bestFit="1" customWidth="1"/>
    <col min="3" max="3" width="35" bestFit="1" customWidth="1"/>
    <col min="4" max="4" width="36.5" bestFit="1" customWidth="1"/>
    <col min="5" max="5" width="37.1640625" bestFit="1" customWidth="1"/>
    <col min="6" max="6" width="18.33203125" bestFit="1" customWidth="1"/>
    <col min="7" max="7" width="11.5" bestFit="1" customWidth="1"/>
    <col min="8" max="8" width="12.1640625" bestFit="1" customWidth="1"/>
    <col min="9" max="9" width="13.5" bestFit="1" customWidth="1"/>
    <col min="10" max="10" width="24.1640625" bestFit="1" customWidth="1"/>
    <col min="11" max="11" width="24" bestFit="1" customWidth="1"/>
    <col min="12" max="123" width="13.83203125" bestFit="1" customWidth="1"/>
    <col min="124" max="124" width="9.5" bestFit="1" customWidth="1"/>
  </cols>
  <sheetData>
    <row r="3" spans="1:10">
      <c r="A3" s="6" t="s">
        <v>44</v>
      </c>
      <c r="B3" t="s">
        <v>42</v>
      </c>
      <c r="C3" t="s">
        <v>48</v>
      </c>
      <c r="D3" t="s">
        <v>49</v>
      </c>
      <c r="E3" t="s">
        <v>40</v>
      </c>
      <c r="F3" t="s">
        <v>43</v>
      </c>
      <c r="G3" t="s">
        <v>46</v>
      </c>
      <c r="H3" t="s">
        <v>47</v>
      </c>
      <c r="I3" t="s">
        <v>41</v>
      </c>
      <c r="J3" t="s">
        <v>66</v>
      </c>
    </row>
    <row r="4" spans="1:10">
      <c r="A4" s="7" t="s">
        <v>65</v>
      </c>
      <c r="B4" s="4">
        <v>0.68000000000000016</v>
      </c>
      <c r="C4" s="4">
        <v>0.24</v>
      </c>
      <c r="D4" s="4">
        <v>1.98</v>
      </c>
      <c r="E4" s="35">
        <v>18</v>
      </c>
      <c r="F4" s="4">
        <v>0.25862222222222225</v>
      </c>
      <c r="G4" s="4">
        <v>0.20569999999999999</v>
      </c>
      <c r="H4" s="4">
        <v>0.45419999999999999</v>
      </c>
      <c r="I4" s="35">
        <v>18</v>
      </c>
      <c r="J4" s="35">
        <v>18</v>
      </c>
    </row>
    <row r="5" spans="1:10">
      <c r="A5" s="7" t="s">
        <v>58</v>
      </c>
      <c r="B5" s="4">
        <v>0.76500000000000024</v>
      </c>
      <c r="C5" s="4">
        <v>0.3</v>
      </c>
      <c r="D5" s="4">
        <v>1.84</v>
      </c>
      <c r="E5" s="35">
        <v>18</v>
      </c>
      <c r="F5" s="4">
        <v>0.24798333333333333</v>
      </c>
      <c r="G5" s="4">
        <v>0.1825</v>
      </c>
      <c r="H5" s="4">
        <v>0.51910000000000001</v>
      </c>
      <c r="I5" s="35">
        <v>18</v>
      </c>
      <c r="J5" s="35">
        <v>18</v>
      </c>
    </row>
    <row r="6" spans="1:10">
      <c r="A6" s="7" t="s">
        <v>59</v>
      </c>
      <c r="B6" s="4">
        <v>0.75933333333333342</v>
      </c>
      <c r="C6" s="4">
        <v>0.24</v>
      </c>
      <c r="D6" s="4">
        <v>2.5099999999999998</v>
      </c>
      <c r="E6" s="35">
        <v>15</v>
      </c>
      <c r="F6" s="4">
        <v>0.23952666666666661</v>
      </c>
      <c r="G6" s="4">
        <v>0.14660000000000001</v>
      </c>
      <c r="H6" s="4">
        <v>0.3926</v>
      </c>
      <c r="I6" s="35">
        <v>15</v>
      </c>
      <c r="J6" s="35">
        <v>15</v>
      </c>
    </row>
    <row r="7" spans="1:10">
      <c r="A7" s="7" t="s">
        <v>60</v>
      </c>
      <c r="B7" s="4">
        <v>0.66647058823529404</v>
      </c>
      <c r="C7" s="4">
        <v>0.28999999999999998</v>
      </c>
      <c r="D7" s="4">
        <v>2.09</v>
      </c>
      <c r="E7" s="35">
        <v>17</v>
      </c>
      <c r="F7" s="4">
        <v>0.25741764705882358</v>
      </c>
      <c r="G7" s="4">
        <v>0.14799999999999999</v>
      </c>
      <c r="H7" s="4">
        <v>0.30509999999999998</v>
      </c>
      <c r="I7" s="35">
        <v>17</v>
      </c>
      <c r="J7" s="35">
        <v>17</v>
      </c>
    </row>
    <row r="8" spans="1:10">
      <c r="A8" s="7" t="s">
        <v>63</v>
      </c>
      <c r="B8" s="4">
        <v>0.47250000000000003</v>
      </c>
      <c r="C8" s="4">
        <v>0.24</v>
      </c>
      <c r="D8" s="4">
        <v>1</v>
      </c>
      <c r="E8" s="35">
        <v>16</v>
      </c>
      <c r="F8" s="4">
        <v>0.27609999999999996</v>
      </c>
      <c r="G8" s="4">
        <v>0.1991</v>
      </c>
      <c r="H8" s="4">
        <v>0.36630000000000001</v>
      </c>
      <c r="I8" s="35">
        <v>16</v>
      </c>
      <c r="J8" s="35">
        <v>16</v>
      </c>
    </row>
    <row r="9" spans="1:10">
      <c r="A9" s="7" t="s">
        <v>61</v>
      </c>
      <c r="B9" s="4">
        <v>0.62</v>
      </c>
      <c r="C9" s="4">
        <v>0.17</v>
      </c>
      <c r="D9" s="4">
        <v>2.57</v>
      </c>
      <c r="E9" s="35">
        <v>17</v>
      </c>
      <c r="F9" s="4">
        <v>0.26302352941176471</v>
      </c>
      <c r="G9" s="4">
        <v>0.1492</v>
      </c>
      <c r="H9" s="4">
        <v>0.4748</v>
      </c>
      <c r="I9" s="35">
        <v>17</v>
      </c>
      <c r="J9" s="35">
        <v>18</v>
      </c>
    </row>
    <row r="10" spans="1:10">
      <c r="A10" s="7" t="s">
        <v>62</v>
      </c>
      <c r="B10" s="4">
        <v>0.50636363636363635</v>
      </c>
      <c r="C10" s="4">
        <v>0.26</v>
      </c>
      <c r="D10" s="4">
        <v>0.81</v>
      </c>
      <c r="E10" s="35">
        <v>11</v>
      </c>
      <c r="F10" s="4">
        <v>0.27771818181818181</v>
      </c>
      <c r="G10" s="4">
        <v>0.15790000000000001</v>
      </c>
      <c r="H10" s="4">
        <v>0.4088</v>
      </c>
      <c r="I10" s="35">
        <v>11</v>
      </c>
      <c r="J10" s="35">
        <v>13</v>
      </c>
    </row>
    <row r="11" spans="1:10">
      <c r="A11" s="7" t="s">
        <v>45</v>
      </c>
      <c r="B11" s="4">
        <v>0.64642857142857169</v>
      </c>
      <c r="C11" s="4">
        <v>0.17</v>
      </c>
      <c r="D11" s="4">
        <v>2.57</v>
      </c>
      <c r="E11" s="35">
        <v>112</v>
      </c>
      <c r="F11" s="3">
        <v>0.25921250000000001</v>
      </c>
      <c r="G11" s="3">
        <v>0.14660000000000001</v>
      </c>
      <c r="H11" s="3">
        <v>0.51910000000000001</v>
      </c>
      <c r="I11" s="35">
        <v>112</v>
      </c>
      <c r="J11" s="35">
        <v>115</v>
      </c>
    </row>
    <row r="19" spans="1:10">
      <c r="A19" s="6" t="s">
        <v>7</v>
      </c>
      <c r="B19" t="s">
        <v>57</v>
      </c>
    </row>
    <row r="21" spans="1:10">
      <c r="A21" t="s">
        <v>51</v>
      </c>
      <c r="B21" t="s">
        <v>52</v>
      </c>
    </row>
    <row r="22" spans="1:10">
      <c r="A22" s="35">
        <v>2.1808695652173915</v>
      </c>
      <c r="B22" s="35">
        <v>2.8353913043478265</v>
      </c>
    </row>
    <row r="25" spans="1:10">
      <c r="A25" s="7" t="s">
        <v>65</v>
      </c>
      <c r="B25" s="4">
        <v>0.68000000000000016</v>
      </c>
      <c r="C25" s="4">
        <v>0.24</v>
      </c>
      <c r="D25" s="4">
        <v>1.98</v>
      </c>
      <c r="E25" s="35">
        <v>18</v>
      </c>
      <c r="F25" s="4">
        <v>0.25862222222222225</v>
      </c>
      <c r="G25" s="4">
        <v>0.20569999999999999</v>
      </c>
      <c r="H25" s="4">
        <v>0.45419999999999999</v>
      </c>
      <c r="I25" s="35">
        <v>18</v>
      </c>
      <c r="J25" s="35">
        <v>18</v>
      </c>
    </row>
    <row r="26" spans="1:10">
      <c r="A26" s="7" t="s">
        <v>58</v>
      </c>
      <c r="B26" s="4">
        <v>0.76500000000000024</v>
      </c>
      <c r="C26" s="4">
        <v>0.3</v>
      </c>
      <c r="D26" s="4">
        <v>1.84</v>
      </c>
      <c r="E26" s="35">
        <v>18</v>
      </c>
      <c r="F26" s="4">
        <v>0.24798333333333333</v>
      </c>
      <c r="G26" s="4">
        <v>0.1825</v>
      </c>
      <c r="H26" s="4">
        <v>0.51910000000000001</v>
      </c>
      <c r="I26" s="35">
        <v>18</v>
      </c>
      <c r="J26" s="35">
        <v>18</v>
      </c>
    </row>
    <row r="27" spans="1:10">
      <c r="A27" s="7" t="s">
        <v>59</v>
      </c>
      <c r="B27" s="4">
        <v>0.75933333333333342</v>
      </c>
      <c r="C27" s="4">
        <v>0.24</v>
      </c>
      <c r="D27" s="4">
        <v>2.5099999999999998</v>
      </c>
      <c r="E27" s="35">
        <v>15</v>
      </c>
      <c r="F27" s="4">
        <v>0.23952666666666661</v>
      </c>
      <c r="G27" s="4">
        <v>0.14660000000000001</v>
      </c>
      <c r="H27" s="4">
        <v>0.3926</v>
      </c>
      <c r="I27" s="35">
        <v>15</v>
      </c>
      <c r="J27" s="35">
        <v>15</v>
      </c>
    </row>
    <row r="28" spans="1:10">
      <c r="A28" s="7" t="s">
        <v>60</v>
      </c>
      <c r="B28" s="4">
        <v>0.66647058823529404</v>
      </c>
      <c r="C28" s="4">
        <v>0.28999999999999998</v>
      </c>
      <c r="D28" s="4">
        <v>2.09</v>
      </c>
      <c r="E28" s="35">
        <v>17</v>
      </c>
      <c r="F28" s="4">
        <v>0.25741764705882358</v>
      </c>
      <c r="G28" s="4">
        <v>0.14799999999999999</v>
      </c>
      <c r="H28" s="4">
        <v>0.30509999999999998</v>
      </c>
      <c r="I28" s="35">
        <v>17</v>
      </c>
      <c r="J28" s="35">
        <v>17</v>
      </c>
    </row>
    <row r="29" spans="1:10">
      <c r="A29" s="7" t="s">
        <v>63</v>
      </c>
      <c r="B29" s="4">
        <v>0.47250000000000003</v>
      </c>
      <c r="C29" s="4">
        <v>0.24</v>
      </c>
      <c r="D29" s="4">
        <v>1</v>
      </c>
      <c r="E29" s="35">
        <v>16</v>
      </c>
      <c r="F29" s="4">
        <v>0.27609999999999996</v>
      </c>
      <c r="G29" s="4">
        <v>0.1991</v>
      </c>
      <c r="H29" s="4">
        <v>0.36630000000000001</v>
      </c>
      <c r="I29" s="35">
        <v>16</v>
      </c>
      <c r="J29" s="35">
        <v>16</v>
      </c>
    </row>
    <row r="30" spans="1:10">
      <c r="A30" s="7" t="s">
        <v>61</v>
      </c>
      <c r="B30" s="4">
        <v>0.62</v>
      </c>
      <c r="C30" s="4">
        <v>0.17</v>
      </c>
      <c r="D30" s="4">
        <v>2.57</v>
      </c>
      <c r="E30" s="35">
        <v>17</v>
      </c>
      <c r="F30" s="4">
        <v>0.26302352941176471</v>
      </c>
      <c r="G30" s="4">
        <v>0.1492</v>
      </c>
      <c r="H30" s="4">
        <v>0.4748</v>
      </c>
      <c r="I30" s="35">
        <v>17</v>
      </c>
      <c r="J30" s="35">
        <v>18</v>
      </c>
    </row>
    <row r="31" spans="1:10">
      <c r="A31" s="7" t="s">
        <v>62</v>
      </c>
      <c r="B31" s="4">
        <v>0.50636363636363635</v>
      </c>
      <c r="C31" s="4">
        <v>0.26</v>
      </c>
      <c r="D31" s="4">
        <v>0.81</v>
      </c>
      <c r="E31" s="35">
        <v>11</v>
      </c>
      <c r="F31" s="4">
        <v>0.27771818181818181</v>
      </c>
      <c r="G31" s="4">
        <v>0.15790000000000001</v>
      </c>
      <c r="H31" s="4">
        <v>0.4088</v>
      </c>
      <c r="I31" s="35">
        <v>11</v>
      </c>
      <c r="J31" s="35">
        <v>13</v>
      </c>
    </row>
    <row r="32" spans="1:10">
      <c r="A32" s="15" t="s">
        <v>45</v>
      </c>
      <c r="B32" s="8">
        <v>0.64642857142857169</v>
      </c>
      <c r="C32" s="8">
        <v>0.17</v>
      </c>
      <c r="D32" s="8">
        <v>2.57</v>
      </c>
      <c r="E32" s="36">
        <v>112</v>
      </c>
      <c r="F32" s="9">
        <v>0.25921250000000001</v>
      </c>
      <c r="G32" s="9">
        <v>0.14660000000000001</v>
      </c>
      <c r="H32" s="9">
        <v>0.51910000000000001</v>
      </c>
      <c r="I32" s="36">
        <v>112</v>
      </c>
      <c r="J32" s="36">
        <v>115</v>
      </c>
    </row>
    <row r="38" spans="1:10">
      <c r="B38" t="s">
        <v>50</v>
      </c>
      <c r="C38" s="4">
        <v>2.1759554062191446</v>
      </c>
      <c r="D38" s="4">
        <v>0.29313853783400412</v>
      </c>
      <c r="E38" s="4">
        <v>6.361357674994653</v>
      </c>
      <c r="F38">
        <v>116</v>
      </c>
      <c r="G38" s="3">
        <v>0.19392108843537401</v>
      </c>
      <c r="H38" s="3">
        <v>0.1221</v>
      </c>
      <c r="I38" s="3">
        <v>0.39460000000000001</v>
      </c>
      <c r="J38">
        <v>147</v>
      </c>
    </row>
    <row r="39" spans="1:10">
      <c r="A39" s="6" t="s">
        <v>5</v>
      </c>
      <c r="B39" t="s">
        <v>57</v>
      </c>
    </row>
    <row r="41" spans="1:10">
      <c r="A41" s="6" t="s">
        <v>44</v>
      </c>
      <c r="B41" t="s">
        <v>42</v>
      </c>
      <c r="C41" t="s">
        <v>48</v>
      </c>
      <c r="D41" t="s">
        <v>49</v>
      </c>
      <c r="E41" t="s">
        <v>40</v>
      </c>
      <c r="F41" t="s">
        <v>43</v>
      </c>
      <c r="G41" t="s">
        <v>46</v>
      </c>
      <c r="H41" t="s">
        <v>47</v>
      </c>
      <c r="I41" t="s">
        <v>41</v>
      </c>
    </row>
    <row r="42" spans="1:10">
      <c r="A42" s="7">
        <v>23</v>
      </c>
      <c r="B42" s="4">
        <v>0.58000000000000007</v>
      </c>
      <c r="C42" s="4">
        <v>0.54</v>
      </c>
      <c r="D42" s="4">
        <v>0.6</v>
      </c>
      <c r="E42" s="1">
        <v>3</v>
      </c>
      <c r="F42" s="4">
        <v>0.32</v>
      </c>
      <c r="G42" s="4">
        <v>0.2697</v>
      </c>
      <c r="H42" s="4">
        <v>0.372</v>
      </c>
      <c r="I42" s="1">
        <v>3</v>
      </c>
    </row>
    <row r="43" spans="1:10">
      <c r="A43" s="7">
        <v>24</v>
      </c>
      <c r="B43" s="4">
        <v>0.94499999999999995</v>
      </c>
      <c r="C43" s="4">
        <v>0.38</v>
      </c>
      <c r="D43" s="4">
        <v>1.98</v>
      </c>
      <c r="E43" s="1">
        <v>6</v>
      </c>
      <c r="F43" s="4">
        <v>0.22136666666666668</v>
      </c>
      <c r="G43" s="4">
        <v>0.20530000000000001</v>
      </c>
      <c r="H43" s="4">
        <v>0.25700000000000001</v>
      </c>
      <c r="I43" s="1">
        <v>6</v>
      </c>
    </row>
    <row r="44" spans="1:10">
      <c r="A44" s="7">
        <v>25</v>
      </c>
      <c r="B44" s="4">
        <v>0.78666666666666696</v>
      </c>
      <c r="C44" s="4">
        <v>0.41</v>
      </c>
      <c r="D44" s="4">
        <v>1.84</v>
      </c>
      <c r="E44" s="1">
        <v>21</v>
      </c>
      <c r="F44" s="4">
        <v>0.2271285714285714</v>
      </c>
      <c r="G44" s="4">
        <v>0.1825</v>
      </c>
      <c r="H44" s="4">
        <v>0.28299999999999997</v>
      </c>
      <c r="I44" s="1">
        <v>21</v>
      </c>
    </row>
    <row r="45" spans="1:10">
      <c r="A45" s="7">
        <v>26</v>
      </c>
      <c r="B45" s="4">
        <v>0.77157894736842114</v>
      </c>
      <c r="C45" s="4">
        <v>0.25</v>
      </c>
      <c r="D45" s="4">
        <v>2.5099999999999998</v>
      </c>
      <c r="E45" s="1">
        <v>19</v>
      </c>
      <c r="F45" s="4">
        <v>0.24556315789473682</v>
      </c>
      <c r="G45" s="4">
        <v>0.14660000000000001</v>
      </c>
      <c r="H45" s="4">
        <v>0.30509999999999998</v>
      </c>
      <c r="I45" s="1">
        <v>19</v>
      </c>
    </row>
    <row r="46" spans="1:10">
      <c r="A46" s="7">
        <v>27</v>
      </c>
      <c r="B46" s="4">
        <v>0.70529411764705874</v>
      </c>
      <c r="C46" s="4">
        <v>0.24</v>
      </c>
      <c r="D46" s="4">
        <v>2.09</v>
      </c>
      <c r="E46" s="1">
        <v>17</v>
      </c>
      <c r="F46" s="4">
        <v>0.24583529411764704</v>
      </c>
      <c r="G46" s="4">
        <v>0.14799999999999999</v>
      </c>
      <c r="H46" s="4">
        <v>0.30659999999999998</v>
      </c>
      <c r="I46" s="1">
        <v>17</v>
      </c>
    </row>
    <row r="47" spans="1:10">
      <c r="A47" s="7">
        <v>28</v>
      </c>
      <c r="B47" s="4">
        <v>0.61142857142857143</v>
      </c>
      <c r="C47" s="4">
        <v>0.28999999999999998</v>
      </c>
      <c r="D47" s="4">
        <v>2.57</v>
      </c>
      <c r="E47" s="1">
        <v>14</v>
      </c>
      <c r="F47" s="4">
        <v>0.24795714285714285</v>
      </c>
      <c r="G47" s="4">
        <v>0.1492</v>
      </c>
      <c r="H47" s="4">
        <v>0.36630000000000001</v>
      </c>
      <c r="I47" s="1">
        <v>14</v>
      </c>
    </row>
    <row r="48" spans="1:10">
      <c r="A48" s="7">
        <v>29</v>
      </c>
      <c r="B48" s="4">
        <v>0.44312499999999994</v>
      </c>
      <c r="C48" s="4">
        <v>0.17</v>
      </c>
      <c r="D48" s="4">
        <v>0.81</v>
      </c>
      <c r="E48" s="1">
        <v>16</v>
      </c>
      <c r="F48" s="4">
        <v>0.27683125000000003</v>
      </c>
      <c r="G48" s="4">
        <v>0.15790000000000001</v>
      </c>
      <c r="H48" s="4">
        <v>0.4748</v>
      </c>
      <c r="I48" s="1">
        <v>16</v>
      </c>
    </row>
    <row r="49" spans="1:9">
      <c r="A49" s="7">
        <v>30</v>
      </c>
      <c r="B49" s="4">
        <v>0.39125000000000004</v>
      </c>
      <c r="C49" s="4">
        <v>0.25</v>
      </c>
      <c r="D49" s="4">
        <v>0.57999999999999996</v>
      </c>
      <c r="E49" s="1">
        <v>8</v>
      </c>
      <c r="F49" s="4">
        <v>0.32147500000000001</v>
      </c>
      <c r="G49" s="4">
        <v>0.2616</v>
      </c>
      <c r="H49" s="4">
        <v>0.51910000000000001</v>
      </c>
      <c r="I49" s="35">
        <v>8</v>
      </c>
    </row>
    <row r="50" spans="1:9">
      <c r="A50" s="7">
        <v>31</v>
      </c>
      <c r="B50" s="4">
        <v>0.41000000000000003</v>
      </c>
      <c r="C50" s="4">
        <v>0.24</v>
      </c>
      <c r="D50" s="4">
        <v>0.76</v>
      </c>
      <c r="E50" s="1">
        <v>4</v>
      </c>
      <c r="F50" s="4">
        <v>0.32529999999999998</v>
      </c>
      <c r="G50" s="4">
        <v>0.29360000000000003</v>
      </c>
      <c r="H50" s="4">
        <v>0.3926</v>
      </c>
      <c r="I50" s="35">
        <v>4</v>
      </c>
    </row>
    <row r="51" spans="1:9">
      <c r="A51" s="7">
        <v>33</v>
      </c>
      <c r="B51" s="4">
        <v>0.37999999999999995</v>
      </c>
      <c r="C51" s="4">
        <v>0.28999999999999998</v>
      </c>
      <c r="D51" s="4">
        <v>0.43</v>
      </c>
      <c r="E51" s="1">
        <v>3</v>
      </c>
      <c r="F51" s="4">
        <v>0.35186666666666672</v>
      </c>
      <c r="G51" s="4">
        <v>0.33829999999999999</v>
      </c>
      <c r="H51" s="4">
        <v>0.36780000000000002</v>
      </c>
      <c r="I51" s="35">
        <v>3</v>
      </c>
    </row>
    <row r="52" spans="1:9">
      <c r="A52" s="7">
        <v>34</v>
      </c>
      <c r="B52" s="4">
        <v>0.26</v>
      </c>
      <c r="C52" s="4">
        <v>0.26</v>
      </c>
      <c r="D52" s="4">
        <v>0.26</v>
      </c>
      <c r="E52" s="1">
        <v>1</v>
      </c>
      <c r="F52" s="4">
        <v>0.29970000000000002</v>
      </c>
      <c r="G52" s="4">
        <v>0.29970000000000002</v>
      </c>
      <c r="H52" s="4">
        <v>0.29970000000000002</v>
      </c>
      <c r="I52" s="35">
        <v>1</v>
      </c>
    </row>
    <row r="53" spans="1:9">
      <c r="A53" s="7" t="s">
        <v>64</v>
      </c>
      <c r="B53" s="3"/>
      <c r="C53" s="3"/>
      <c r="D53" s="3"/>
      <c r="E53" s="3"/>
      <c r="F53" s="4"/>
      <c r="G53" s="4"/>
      <c r="H53" s="4"/>
      <c r="I53" s="35"/>
    </row>
    <row r="54" spans="1:9">
      <c r="A54" s="7" t="s">
        <v>45</v>
      </c>
      <c r="B54" s="4">
        <v>0.64642857142857169</v>
      </c>
      <c r="C54" s="4">
        <v>0.17</v>
      </c>
      <c r="D54" s="4">
        <v>2.57</v>
      </c>
      <c r="E54" s="35">
        <v>112</v>
      </c>
      <c r="F54" s="4">
        <v>0.25921250000000001</v>
      </c>
      <c r="G54" s="4">
        <v>0.14660000000000001</v>
      </c>
      <c r="H54" s="4">
        <v>0.51910000000000001</v>
      </c>
      <c r="I54" s="35">
        <v>112</v>
      </c>
    </row>
    <row r="64" spans="1:9">
      <c r="A64" s="7"/>
      <c r="B64" s="4"/>
      <c r="C64" s="4"/>
      <c r="D64" s="4"/>
      <c r="E64" s="1"/>
      <c r="F64" s="4"/>
      <c r="G64" s="4"/>
      <c r="H64" s="4"/>
    </row>
    <row r="65" spans="1:9">
      <c r="A65" s="7" t="s">
        <v>67</v>
      </c>
      <c r="B65" s="4"/>
      <c r="C65" s="4"/>
      <c r="D65" s="4"/>
      <c r="E65" s="1"/>
      <c r="F65" s="4"/>
      <c r="G65" s="4"/>
      <c r="H65" s="4"/>
      <c r="I65" s="35"/>
    </row>
    <row r="66" spans="1:9">
      <c r="A66" s="7" t="s">
        <v>53</v>
      </c>
      <c r="B66" s="4"/>
      <c r="C66" s="4"/>
      <c r="D66" s="4"/>
      <c r="E66" s="1"/>
      <c r="F66" s="4"/>
      <c r="G66" s="4"/>
      <c r="H66" s="4"/>
      <c r="I66" s="35"/>
    </row>
    <row r="67" spans="1:9">
      <c r="A67" s="7" t="s">
        <v>54</v>
      </c>
      <c r="B67" s="4">
        <v>0.58000000000000007</v>
      </c>
      <c r="C67" s="4">
        <v>0.54</v>
      </c>
      <c r="D67" s="4">
        <v>0.6</v>
      </c>
      <c r="E67" s="1">
        <v>3</v>
      </c>
      <c r="F67" s="4">
        <v>0.32</v>
      </c>
      <c r="G67" s="4">
        <v>0.2697</v>
      </c>
      <c r="H67" s="4">
        <v>0.372</v>
      </c>
      <c r="I67" s="1">
        <v>3</v>
      </c>
    </row>
    <row r="68" spans="1:9">
      <c r="A68" s="7" t="s">
        <v>55</v>
      </c>
      <c r="B68" s="4">
        <v>0.94499999999999995</v>
      </c>
      <c r="C68" s="4">
        <v>0.38</v>
      </c>
      <c r="D68" s="4">
        <v>1.98</v>
      </c>
      <c r="E68" s="1">
        <v>6</v>
      </c>
      <c r="F68" s="4">
        <v>0.22136666666666668</v>
      </c>
      <c r="G68" s="4">
        <v>0.20530000000000001</v>
      </c>
      <c r="H68" s="4">
        <v>0.25700000000000001</v>
      </c>
      <c r="I68" s="1">
        <v>6</v>
      </c>
    </row>
    <row r="69" spans="1:9">
      <c r="A69" s="7" t="s">
        <v>56</v>
      </c>
      <c r="B69" s="4">
        <v>0.78666666666666696</v>
      </c>
      <c r="C69" s="4">
        <v>0.41</v>
      </c>
      <c r="D69" s="4">
        <v>1.84</v>
      </c>
      <c r="E69" s="1">
        <v>21</v>
      </c>
      <c r="F69" s="4">
        <v>0.2271285714285714</v>
      </c>
      <c r="G69" s="4">
        <v>0.1825</v>
      </c>
      <c r="H69" s="4">
        <v>0.28299999999999997</v>
      </c>
      <c r="I69" s="1">
        <v>21</v>
      </c>
    </row>
    <row r="70" spans="1:9">
      <c r="A70" s="7" t="s">
        <v>68</v>
      </c>
      <c r="B70" s="4">
        <v>0.77157894736842114</v>
      </c>
      <c r="C70" s="4">
        <v>0.25</v>
      </c>
      <c r="D70" s="4">
        <v>2.5099999999999998</v>
      </c>
      <c r="E70" s="1">
        <v>19</v>
      </c>
      <c r="F70" s="4">
        <v>0.24556315789473682</v>
      </c>
      <c r="G70" s="4">
        <v>0.14660000000000001</v>
      </c>
      <c r="H70" s="4">
        <v>0.30509999999999998</v>
      </c>
      <c r="I70" s="1">
        <v>19</v>
      </c>
    </row>
    <row r="71" spans="1:9">
      <c r="A71" s="7" t="s">
        <v>69</v>
      </c>
      <c r="B71" s="4">
        <v>0.70529411764705874</v>
      </c>
      <c r="C71" s="4">
        <v>0.24</v>
      </c>
      <c r="D71" s="4">
        <v>2.09</v>
      </c>
      <c r="E71" s="1">
        <v>17</v>
      </c>
      <c r="F71" s="4">
        <v>0.24583529411764704</v>
      </c>
      <c r="G71" s="4">
        <v>0.14799999999999999</v>
      </c>
      <c r="H71" s="4">
        <v>0.30659999999999998</v>
      </c>
      <c r="I71" s="1">
        <v>17</v>
      </c>
    </row>
    <row r="72" spans="1:9">
      <c r="A72" s="7" t="s">
        <v>70</v>
      </c>
      <c r="B72" s="4">
        <v>0.61142857142857143</v>
      </c>
      <c r="C72" s="4">
        <v>0.28999999999999998</v>
      </c>
      <c r="D72" s="4">
        <v>2.57</v>
      </c>
      <c r="E72" s="1">
        <v>14</v>
      </c>
      <c r="F72" s="4">
        <v>0.24795714285714285</v>
      </c>
      <c r="G72" s="4">
        <v>0.1492</v>
      </c>
      <c r="H72" s="4">
        <v>0.36630000000000001</v>
      </c>
      <c r="I72" s="1">
        <v>14</v>
      </c>
    </row>
    <row r="73" spans="1:9">
      <c r="A73" s="7" t="s">
        <v>71</v>
      </c>
      <c r="B73" s="4">
        <v>0.44312499999999994</v>
      </c>
      <c r="C73" s="4">
        <v>0.17</v>
      </c>
      <c r="D73" s="4">
        <v>0.81</v>
      </c>
      <c r="E73" s="1">
        <v>16</v>
      </c>
      <c r="F73" s="4">
        <v>0.27683125000000003</v>
      </c>
      <c r="G73" s="4">
        <v>0.15790000000000001</v>
      </c>
      <c r="H73" s="4">
        <v>0.4748</v>
      </c>
      <c r="I73" s="1">
        <v>16</v>
      </c>
    </row>
    <row r="74" spans="1:9">
      <c r="A74" s="7" t="s">
        <v>72</v>
      </c>
      <c r="B74" s="4">
        <v>0.39125000000000004</v>
      </c>
      <c r="C74" s="4">
        <v>0.25</v>
      </c>
      <c r="D74" s="4">
        <v>0.57999999999999996</v>
      </c>
      <c r="E74" s="1">
        <v>8</v>
      </c>
      <c r="F74" s="4">
        <v>0.32147500000000001</v>
      </c>
      <c r="G74" s="4">
        <v>0.2616</v>
      </c>
      <c r="H74" s="4">
        <v>0.51910000000000001</v>
      </c>
      <c r="I74" s="35">
        <v>8</v>
      </c>
    </row>
    <row r="75" spans="1:9">
      <c r="A75" s="7" t="s">
        <v>73</v>
      </c>
      <c r="B75" s="4">
        <v>0.41000000000000003</v>
      </c>
      <c r="C75" s="4">
        <v>0.24</v>
      </c>
      <c r="D75" s="4">
        <v>0.76</v>
      </c>
      <c r="E75" s="1">
        <v>4</v>
      </c>
      <c r="F75" s="4">
        <v>0.32529999999999998</v>
      </c>
      <c r="G75" s="4">
        <v>0.29360000000000003</v>
      </c>
      <c r="H75" s="4">
        <v>0.3926</v>
      </c>
      <c r="I75" s="35">
        <v>4</v>
      </c>
    </row>
    <row r="76" spans="1:9">
      <c r="A76" s="7" t="s">
        <v>74</v>
      </c>
    </row>
    <row r="77" spans="1:9">
      <c r="A77" s="7" t="s">
        <v>75</v>
      </c>
      <c r="B77" s="4">
        <v>0.37999999999999995</v>
      </c>
      <c r="C77" s="4">
        <v>0.28999999999999998</v>
      </c>
      <c r="D77" s="4">
        <v>0.43</v>
      </c>
      <c r="E77" s="1">
        <v>3</v>
      </c>
      <c r="F77" s="4">
        <v>0.35186666666666672</v>
      </c>
      <c r="G77" s="4">
        <v>0.33829999999999999</v>
      </c>
      <c r="H77" s="4">
        <v>0.36780000000000002</v>
      </c>
      <c r="I77" s="35">
        <v>3</v>
      </c>
    </row>
    <row r="78" spans="1:9">
      <c r="A78" s="7" t="s">
        <v>76</v>
      </c>
      <c r="B78" s="4">
        <v>0.26</v>
      </c>
      <c r="C78" s="4">
        <v>0.26</v>
      </c>
      <c r="D78" s="4">
        <v>0.26</v>
      </c>
      <c r="E78" s="1">
        <v>1</v>
      </c>
      <c r="F78" s="4">
        <v>0.29970000000000002</v>
      </c>
      <c r="G78" s="4">
        <v>0.29970000000000002</v>
      </c>
      <c r="H78" s="4">
        <v>0.29970000000000002</v>
      </c>
      <c r="I78" s="35">
        <v>1</v>
      </c>
    </row>
    <row r="79" spans="1:9">
      <c r="A79" s="15"/>
      <c r="B79" s="4"/>
      <c r="C79" s="4"/>
      <c r="D79" s="4"/>
      <c r="E79" s="1"/>
      <c r="F79" s="4"/>
      <c r="G79" s="4"/>
      <c r="H79" s="4"/>
    </row>
    <row r="80" spans="1:9">
      <c r="A80" s="7"/>
      <c r="B80" s="4"/>
      <c r="C80" s="4"/>
      <c r="D80" s="4"/>
      <c r="E80" s="1"/>
      <c r="F80" s="4"/>
      <c r="G80" s="4"/>
      <c r="H80" s="4"/>
    </row>
    <row r="81" spans="1:9">
      <c r="A81" s="7"/>
      <c r="B81" s="4"/>
      <c r="C81" s="4"/>
      <c r="D81" s="4"/>
      <c r="E81" s="1"/>
      <c r="F81" s="4"/>
      <c r="G81" s="4"/>
      <c r="H81" s="4"/>
    </row>
    <row r="82" spans="1:9">
      <c r="A82" s="7"/>
      <c r="B82" s="4"/>
      <c r="C82" s="4"/>
      <c r="D82" s="4"/>
      <c r="E82" s="1"/>
      <c r="F82" s="4"/>
      <c r="G82" s="4"/>
      <c r="H82" s="4"/>
    </row>
    <row r="87" spans="1:9">
      <c r="A87" s="15" t="s">
        <v>45</v>
      </c>
      <c r="B87" s="8">
        <v>3.5837948717948733</v>
      </c>
      <c r="C87" s="8">
        <v>0.12</v>
      </c>
      <c r="D87" s="8">
        <v>27.97</v>
      </c>
      <c r="E87" s="28">
        <v>195</v>
      </c>
      <c r="F87" s="8">
        <v>0.29059333333333348</v>
      </c>
      <c r="G87" s="8">
        <v>0.1137</v>
      </c>
      <c r="H87" s="8">
        <v>0.65</v>
      </c>
      <c r="I87" s="28">
        <v>195</v>
      </c>
    </row>
  </sheetData>
  <phoneticPr fontId="22" type="noConversion"/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D81A-04C8-714B-8BEE-C4EF3A868CC1}">
  <dimension ref="A1:AP235"/>
  <sheetViews>
    <sheetView workbookViewId="0">
      <selection activeCell="A2" sqref="A2:XFD116"/>
    </sheetView>
  </sheetViews>
  <sheetFormatPr baseColWidth="10" defaultRowHeight="16"/>
  <cols>
    <col min="1" max="1" width="14" bestFit="1" customWidth="1"/>
    <col min="2" max="2" width="5.5" bestFit="1" customWidth="1"/>
    <col min="3" max="3" width="11.1640625" bestFit="1" customWidth="1"/>
    <col min="4" max="5" width="14" bestFit="1" customWidth="1"/>
    <col min="6" max="6" width="9.1640625" bestFit="1" customWidth="1"/>
    <col min="7" max="7" width="3.83203125" bestFit="1" customWidth="1"/>
    <col min="8" max="8" width="15.5" bestFit="1" customWidth="1"/>
    <col min="9" max="9" width="15" bestFit="1" customWidth="1"/>
    <col min="10" max="10" width="10.83203125" style="18"/>
    <col min="11" max="11" width="12.1640625" style="18" bestFit="1" customWidth="1"/>
    <col min="12" max="12" width="8.33203125" bestFit="1" customWidth="1"/>
    <col min="13" max="13" width="9.1640625" bestFit="1" customWidth="1"/>
    <col min="14" max="14" width="12.1640625" bestFit="1" customWidth="1"/>
    <col min="15" max="15" width="15.83203125" bestFit="1" customWidth="1"/>
    <col min="16" max="16" width="10.6640625" bestFit="1" customWidth="1"/>
    <col min="17" max="17" width="10.1640625" bestFit="1" customWidth="1"/>
    <col min="19" max="19" width="10.33203125" bestFit="1" customWidth="1"/>
    <col min="20" max="20" width="10" bestFit="1" customWidth="1"/>
    <col min="21" max="21" width="8.5" bestFit="1" customWidth="1"/>
    <col min="22" max="22" width="13.5" bestFit="1" customWidth="1"/>
    <col min="23" max="23" width="18" bestFit="1" customWidth="1"/>
    <col min="24" max="24" width="19.33203125" bestFit="1" customWidth="1"/>
    <col min="25" max="25" width="29.6640625" bestFit="1" customWidth="1"/>
    <col min="26" max="26" width="27.5" bestFit="1" customWidth="1"/>
    <col min="27" max="27" width="29.5" bestFit="1" customWidth="1"/>
    <col min="28" max="28" width="27.33203125" bestFit="1" customWidth="1"/>
    <col min="29" max="29" width="9" bestFit="1" customWidth="1"/>
    <col min="30" max="31" width="6.6640625" bestFit="1" customWidth="1"/>
    <col min="32" max="32" width="4.6640625" bestFit="1" customWidth="1"/>
    <col min="33" max="34" width="6.6640625" bestFit="1" customWidth="1"/>
    <col min="35" max="35" width="9.33203125" bestFit="1" customWidth="1"/>
    <col min="36" max="40" width="6.6640625" bestFit="1" customWidth="1"/>
  </cols>
  <sheetData>
    <row r="1" spans="1:41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8" t="s">
        <v>8</v>
      </c>
      <c r="K1" s="18" t="s">
        <v>9</v>
      </c>
      <c r="L1" t="s">
        <v>10</v>
      </c>
      <c r="M1" t="s">
        <v>11</v>
      </c>
      <c r="N1" t="s">
        <v>37</v>
      </c>
      <c r="O1" t="s">
        <v>38</v>
      </c>
      <c r="P1" t="s">
        <v>30</v>
      </c>
      <c r="Q1" t="s">
        <v>31</v>
      </c>
      <c r="R1" t="s">
        <v>32</v>
      </c>
      <c r="S1" t="s">
        <v>33</v>
      </c>
      <c r="T1" t="s">
        <v>35</v>
      </c>
      <c r="U1" t="s">
        <v>36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39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</row>
    <row r="2" spans="1:41">
      <c r="A2" s="29" t="s">
        <v>94</v>
      </c>
      <c r="B2" s="10">
        <v>2</v>
      </c>
      <c r="C2" s="29" t="s">
        <v>77</v>
      </c>
      <c r="D2" s="30">
        <v>598718.6</v>
      </c>
      <c r="E2" s="30">
        <v>5853262.4000000004</v>
      </c>
      <c r="F2" s="31">
        <v>24.7</v>
      </c>
      <c r="H2" s="29" t="s">
        <v>111</v>
      </c>
      <c r="I2" s="19" t="s">
        <v>65</v>
      </c>
      <c r="J2" s="31">
        <v>0.18</v>
      </c>
      <c r="K2" s="31">
        <v>0.8</v>
      </c>
      <c r="L2" s="17">
        <f>F2+J2</f>
        <v>24.88</v>
      </c>
      <c r="M2" s="16">
        <f>F2+K2</f>
        <v>25.5</v>
      </c>
      <c r="N2" s="12">
        <f>(L2+M2)/2</f>
        <v>25.189999999999998</v>
      </c>
      <c r="O2" s="11">
        <f>ROUND(N2,0)</f>
        <v>25</v>
      </c>
      <c r="P2" s="13">
        <v>0</v>
      </c>
      <c r="Q2" s="13">
        <f>K2</f>
        <v>0.8</v>
      </c>
      <c r="R2" s="13">
        <f>P2+F2</f>
        <v>24.7</v>
      </c>
      <c r="S2" s="13">
        <f>F2+Q2</f>
        <v>25.5</v>
      </c>
      <c r="T2" s="13">
        <f>(R2+S2)/2</f>
        <v>25.1</v>
      </c>
      <c r="U2" s="14">
        <f>ROUND(T2,0)</f>
        <v>25</v>
      </c>
      <c r="V2" s="34">
        <v>2.04</v>
      </c>
      <c r="W2" s="31">
        <v>96.82</v>
      </c>
      <c r="X2" s="31">
        <v>1.1399999999999999</v>
      </c>
      <c r="Y2" s="31">
        <v>0.75</v>
      </c>
      <c r="Z2" s="31">
        <v>0.55000000000000004</v>
      </c>
      <c r="AA2" s="34">
        <v>1.1399999999999999</v>
      </c>
      <c r="AB2" s="31">
        <v>0.93</v>
      </c>
      <c r="AC2" s="32">
        <v>1.9167000000000001</v>
      </c>
      <c r="AD2" s="33">
        <v>0.14949999999999999</v>
      </c>
      <c r="AE2" s="33">
        <v>0.17100000000000001</v>
      </c>
      <c r="AF2" s="33">
        <v>0.25650000000000001</v>
      </c>
      <c r="AG2" s="33">
        <v>0.28649999999999998</v>
      </c>
      <c r="AH2" s="33">
        <v>0.3201</v>
      </c>
      <c r="AI2" s="32">
        <v>1.8664000000000001</v>
      </c>
      <c r="AJ2" s="33">
        <v>0.15210000000000001</v>
      </c>
      <c r="AK2" s="33">
        <v>0.17319999999999999</v>
      </c>
      <c r="AL2" s="33">
        <v>0.2838</v>
      </c>
      <c r="AM2" s="33">
        <v>0.316</v>
      </c>
      <c r="AN2" s="33">
        <v>0.25490000000000002</v>
      </c>
    </row>
    <row r="3" spans="1:41">
      <c r="A3" s="29" t="s">
        <v>94</v>
      </c>
      <c r="B3" s="10">
        <v>2</v>
      </c>
      <c r="C3" s="29" t="s">
        <v>77</v>
      </c>
      <c r="D3" s="30">
        <v>598718.6</v>
      </c>
      <c r="E3" s="30">
        <v>5853262.4000000004</v>
      </c>
      <c r="F3" s="31">
        <v>24.7</v>
      </c>
      <c r="G3" s="16"/>
      <c r="H3" s="29" t="s">
        <v>111</v>
      </c>
      <c r="I3" s="19" t="s">
        <v>58</v>
      </c>
      <c r="J3" s="31">
        <v>0.8</v>
      </c>
      <c r="K3" s="31">
        <v>1</v>
      </c>
      <c r="L3" s="17">
        <f>F3+J3</f>
        <v>25.5</v>
      </c>
      <c r="M3" s="16">
        <f>F3+K3</f>
        <v>25.7</v>
      </c>
      <c r="N3" s="12">
        <f>(L3+M3)/2</f>
        <v>25.6</v>
      </c>
      <c r="O3" s="11">
        <f>ROUND(N3,0)</f>
        <v>26</v>
      </c>
      <c r="P3" s="13">
        <f>J3</f>
        <v>0.8</v>
      </c>
      <c r="Q3" s="13">
        <f>K3</f>
        <v>1</v>
      </c>
      <c r="R3" s="13">
        <f>P3+F3</f>
        <v>25.5</v>
      </c>
      <c r="S3" s="13">
        <f>F3+Q3</f>
        <v>25.7</v>
      </c>
      <c r="T3" s="13">
        <f>(R3+S3)/2</f>
        <v>25.6</v>
      </c>
      <c r="U3" s="14">
        <f>ROUND(T3,0)</f>
        <v>26</v>
      </c>
      <c r="V3" s="34">
        <v>0.14000000000000001</v>
      </c>
      <c r="W3" s="31">
        <v>97.67</v>
      </c>
      <c r="X3" s="31">
        <v>2.19</v>
      </c>
      <c r="Y3" s="31">
        <v>1.72</v>
      </c>
      <c r="Z3" s="31">
        <v>1.23</v>
      </c>
      <c r="AA3" s="34">
        <v>2.19</v>
      </c>
      <c r="AB3" s="31">
        <v>1.7</v>
      </c>
      <c r="AC3" s="32">
        <v>2.2564000000000002</v>
      </c>
      <c r="AD3" s="33">
        <v>0.12640000000000001</v>
      </c>
      <c r="AE3" s="33">
        <v>0.13689999999999999</v>
      </c>
      <c r="AF3" s="33">
        <v>0.25640000000000002</v>
      </c>
      <c r="AG3" s="33">
        <v>0.2853</v>
      </c>
      <c r="AH3" s="33">
        <v>0.31730000000000003</v>
      </c>
      <c r="AI3" s="32">
        <v>2.2162999999999999</v>
      </c>
      <c r="AJ3" s="33">
        <v>0.1295</v>
      </c>
      <c r="AK3" s="33">
        <v>0.1401</v>
      </c>
      <c r="AL3" s="33">
        <v>0.28710000000000002</v>
      </c>
      <c r="AM3" s="33">
        <v>0.31869999999999998</v>
      </c>
      <c r="AN3" s="33">
        <v>0.2586</v>
      </c>
    </row>
    <row r="4" spans="1:41">
      <c r="A4" s="29" t="s">
        <v>94</v>
      </c>
      <c r="B4" s="10">
        <v>2</v>
      </c>
      <c r="C4" s="29" t="s">
        <v>77</v>
      </c>
      <c r="D4" s="30">
        <v>598718.6</v>
      </c>
      <c r="E4" s="30">
        <v>5853262.4000000004</v>
      </c>
      <c r="F4" s="31">
        <v>24.7</v>
      </c>
      <c r="H4" s="29" t="s">
        <v>112</v>
      </c>
      <c r="I4" s="19" t="s">
        <v>59</v>
      </c>
      <c r="J4" s="31">
        <v>1.05</v>
      </c>
      <c r="K4" s="31">
        <v>2</v>
      </c>
      <c r="L4" s="17">
        <f>F4+J4</f>
        <v>25.75</v>
      </c>
      <c r="M4" s="16">
        <f>F4+K4</f>
        <v>26.7</v>
      </c>
      <c r="N4" s="12">
        <f>(L4+M4)/2</f>
        <v>26.225000000000001</v>
      </c>
      <c r="O4" s="11">
        <f>ROUND(N4,0)</f>
        <v>26</v>
      </c>
      <c r="P4" s="13">
        <f>J4</f>
        <v>1.05</v>
      </c>
      <c r="Q4" s="13">
        <f>K4</f>
        <v>2</v>
      </c>
      <c r="R4" s="13">
        <f>P4+F4</f>
        <v>25.75</v>
      </c>
      <c r="S4" s="13">
        <f>F4+Q4</f>
        <v>26.7</v>
      </c>
      <c r="T4" s="13">
        <f>(R4+S4)/2</f>
        <v>26.225000000000001</v>
      </c>
      <c r="U4" s="14">
        <f>ROUND(T4,0)</f>
        <v>26</v>
      </c>
      <c r="V4" s="34">
        <v>0.04</v>
      </c>
      <c r="W4" s="31">
        <v>96.15</v>
      </c>
      <c r="X4" s="31">
        <v>3.82</v>
      </c>
      <c r="Y4" s="31">
        <v>2.88</v>
      </c>
      <c r="Z4" s="31">
        <v>2.5099999999999998</v>
      </c>
      <c r="AA4" s="34">
        <v>3.82</v>
      </c>
      <c r="AB4" s="31">
        <v>3.45</v>
      </c>
      <c r="AC4" s="32">
        <v>1.9964</v>
      </c>
      <c r="AD4" s="33">
        <v>9.9099999999999994E-2</v>
      </c>
      <c r="AE4" s="33">
        <v>0.126</v>
      </c>
      <c r="AF4" s="33">
        <v>0.1736</v>
      </c>
      <c r="AG4" s="33">
        <v>0.19769999999999999</v>
      </c>
      <c r="AH4" s="33">
        <v>0.2311</v>
      </c>
      <c r="AI4" s="32">
        <v>1.7130000000000001</v>
      </c>
      <c r="AJ4" s="33">
        <v>0.1179</v>
      </c>
      <c r="AK4" s="33">
        <v>0.12939999999999999</v>
      </c>
      <c r="AL4" s="33">
        <v>0.20200000000000001</v>
      </c>
      <c r="AM4" s="33">
        <v>0.23480000000000001</v>
      </c>
      <c r="AN4" s="33">
        <v>0.17630000000000001</v>
      </c>
    </row>
    <row r="5" spans="1:41">
      <c r="A5" s="29" t="s">
        <v>94</v>
      </c>
      <c r="B5" s="10">
        <v>2</v>
      </c>
      <c r="C5" s="29" t="s">
        <v>77</v>
      </c>
      <c r="D5" s="30">
        <v>598718.6</v>
      </c>
      <c r="E5" s="30">
        <v>5853262.4000000004</v>
      </c>
      <c r="F5" s="31">
        <v>24.7</v>
      </c>
      <c r="H5" s="29" t="s">
        <v>113</v>
      </c>
      <c r="I5" s="19" t="s">
        <v>60</v>
      </c>
      <c r="J5" s="31">
        <v>2.0299999999999998</v>
      </c>
      <c r="K5" s="31">
        <v>3</v>
      </c>
      <c r="L5" s="17">
        <f>F5+J5</f>
        <v>26.73</v>
      </c>
      <c r="M5" s="16">
        <f>F5+K5</f>
        <v>27.7</v>
      </c>
      <c r="N5" s="12">
        <f>(L5+M5)/2</f>
        <v>27.215</v>
      </c>
      <c r="O5" s="11">
        <f>ROUND(N5,0)</f>
        <v>27</v>
      </c>
      <c r="P5" s="13">
        <v>2</v>
      </c>
      <c r="Q5" s="13">
        <f>K5</f>
        <v>3</v>
      </c>
      <c r="R5" s="13">
        <f>P5+F5</f>
        <v>26.7</v>
      </c>
      <c r="S5" s="13">
        <f>F5+Q5</f>
        <v>27.7</v>
      </c>
      <c r="T5" s="13">
        <f>(R5+S5)/2</f>
        <v>27.2</v>
      </c>
      <c r="U5" s="14">
        <f>ROUND(T5,0)</f>
        <v>27</v>
      </c>
      <c r="V5" s="34">
        <v>0.01</v>
      </c>
      <c r="W5" s="31">
        <v>97.02</v>
      </c>
      <c r="X5" s="31">
        <v>2.97</v>
      </c>
      <c r="Y5" s="31">
        <v>2.38</v>
      </c>
      <c r="Z5" s="31">
        <v>2.09</v>
      </c>
      <c r="AA5" s="34">
        <v>2.97</v>
      </c>
      <c r="AB5" s="31">
        <v>2.68</v>
      </c>
      <c r="AC5" s="32">
        <v>2.4718</v>
      </c>
      <c r="AD5" s="33">
        <v>0.1164</v>
      </c>
      <c r="AE5" s="33">
        <v>0.1338</v>
      </c>
      <c r="AF5" s="33">
        <v>0.25840000000000002</v>
      </c>
      <c r="AG5" s="33">
        <v>0.28770000000000001</v>
      </c>
      <c r="AH5" s="33">
        <v>0.32029999999999997</v>
      </c>
      <c r="AI5" s="32">
        <v>2.2743000000000002</v>
      </c>
      <c r="AJ5" s="33">
        <v>0.128</v>
      </c>
      <c r="AK5" s="33">
        <v>0.13919999999999999</v>
      </c>
      <c r="AL5" s="33">
        <v>0.29099999999999998</v>
      </c>
      <c r="AM5" s="33">
        <v>0.3231</v>
      </c>
      <c r="AN5" s="33">
        <v>0.2621</v>
      </c>
    </row>
    <row r="6" spans="1:41">
      <c r="A6" s="29" t="s">
        <v>94</v>
      </c>
      <c r="B6" s="10">
        <v>2</v>
      </c>
      <c r="C6" s="29" t="s">
        <v>77</v>
      </c>
      <c r="D6" s="30">
        <v>598718.6</v>
      </c>
      <c r="E6" s="30">
        <v>5853262.4000000004</v>
      </c>
      <c r="F6" s="31">
        <v>24.7</v>
      </c>
      <c r="H6" s="29" t="s">
        <v>114</v>
      </c>
      <c r="I6" s="19" t="s">
        <v>61</v>
      </c>
      <c r="J6" s="31">
        <v>4.08</v>
      </c>
      <c r="K6" s="31">
        <v>5</v>
      </c>
      <c r="L6" s="17">
        <f>F6+J6</f>
        <v>28.78</v>
      </c>
      <c r="M6" s="16">
        <f>F6+K6</f>
        <v>29.7</v>
      </c>
      <c r="N6" s="12">
        <f>(L6+M6)/2</f>
        <v>29.240000000000002</v>
      </c>
      <c r="O6" s="11">
        <f>ROUND(N6,0)</f>
        <v>29</v>
      </c>
      <c r="P6" s="13">
        <f>J6</f>
        <v>4.08</v>
      </c>
      <c r="Q6" s="13">
        <f>K6</f>
        <v>5</v>
      </c>
      <c r="R6" s="13">
        <f>P6+F6</f>
        <v>28.78</v>
      </c>
      <c r="S6" s="13">
        <f>F6+Q6</f>
        <v>29.7</v>
      </c>
      <c r="T6" s="13">
        <f>(R6+S6)/2</f>
        <v>29.240000000000002</v>
      </c>
      <c r="U6" s="14">
        <f>ROUND(T6,0)</f>
        <v>29</v>
      </c>
      <c r="V6" s="34">
        <v>0</v>
      </c>
      <c r="W6" s="31">
        <v>99.16</v>
      </c>
      <c r="X6" s="31">
        <v>0.84</v>
      </c>
      <c r="Y6" s="31">
        <v>0.64</v>
      </c>
      <c r="Z6" s="31">
        <v>0.52</v>
      </c>
      <c r="AA6" s="34">
        <v>0.84</v>
      </c>
      <c r="AB6" s="31">
        <v>0.72</v>
      </c>
      <c r="AC6" s="32">
        <v>1.9155</v>
      </c>
      <c r="AD6" s="33">
        <v>0.1489</v>
      </c>
      <c r="AE6" s="33">
        <v>0.17199999999999999</v>
      </c>
      <c r="AF6" s="33">
        <v>0.26300000000000001</v>
      </c>
      <c r="AG6" s="33">
        <v>0.28520000000000001</v>
      </c>
      <c r="AH6" s="33">
        <v>0.30940000000000001</v>
      </c>
      <c r="AI6" s="32">
        <v>1.8843000000000001</v>
      </c>
      <c r="AJ6" s="33">
        <v>0.1517</v>
      </c>
      <c r="AK6" s="33">
        <v>0.17510000000000001</v>
      </c>
      <c r="AL6" s="33">
        <v>0.28589999999999999</v>
      </c>
      <c r="AM6" s="33">
        <v>0.30990000000000001</v>
      </c>
      <c r="AN6" s="33">
        <v>0.26379999999999998</v>
      </c>
      <c r="AO6" s="2"/>
    </row>
    <row r="7" spans="1:41">
      <c r="A7" s="29" t="s">
        <v>94</v>
      </c>
      <c r="B7" s="10">
        <v>2</v>
      </c>
      <c r="C7" s="29" t="s">
        <v>77</v>
      </c>
      <c r="D7" s="30">
        <v>598718.6</v>
      </c>
      <c r="E7" s="30">
        <v>5853262.4000000004</v>
      </c>
      <c r="F7" s="31">
        <v>24.7</v>
      </c>
      <c r="H7" s="29" t="s">
        <v>115</v>
      </c>
      <c r="I7" s="19" t="s">
        <v>62</v>
      </c>
      <c r="J7" s="31">
        <v>5</v>
      </c>
      <c r="K7" s="31">
        <v>5.2</v>
      </c>
      <c r="L7" s="17">
        <f>F7+J7</f>
        <v>29.7</v>
      </c>
      <c r="M7" s="16">
        <f>F7+K7</f>
        <v>29.9</v>
      </c>
      <c r="N7" s="12">
        <f>(L7+M7)/2</f>
        <v>29.799999999999997</v>
      </c>
      <c r="O7" s="11">
        <f>ROUND(N7,0)</f>
        <v>30</v>
      </c>
      <c r="P7" s="13">
        <f>J7</f>
        <v>5</v>
      </c>
      <c r="Q7" s="13">
        <f>K7</f>
        <v>5.2</v>
      </c>
      <c r="R7" s="13">
        <f>P7+F7</f>
        <v>29.7</v>
      </c>
      <c r="S7" s="13">
        <f>F7+Q7</f>
        <v>29.9</v>
      </c>
      <c r="T7" s="13">
        <f>(R7+S7)/2</f>
        <v>29.799999999999997</v>
      </c>
      <c r="U7" s="14">
        <f>ROUND(T7,0)</f>
        <v>30</v>
      </c>
      <c r="V7" s="34">
        <v>0.03</v>
      </c>
      <c r="W7" s="31">
        <v>98.53</v>
      </c>
      <c r="X7" s="31">
        <v>1.44</v>
      </c>
      <c r="Y7" s="31">
        <v>1.08</v>
      </c>
      <c r="Z7" s="31">
        <v>0.54</v>
      </c>
      <c r="AA7" s="34">
        <v>1.44</v>
      </c>
      <c r="AB7" s="31">
        <v>0.9</v>
      </c>
      <c r="AC7" s="32">
        <v>1.5964</v>
      </c>
      <c r="AD7" s="33">
        <v>0.1769</v>
      </c>
      <c r="AE7" s="33">
        <v>0.18820000000000001</v>
      </c>
      <c r="AF7" s="33">
        <v>0.2616</v>
      </c>
      <c r="AG7" s="33">
        <v>0.28239999999999998</v>
      </c>
      <c r="AH7" s="33">
        <v>0.3049</v>
      </c>
      <c r="AI7" s="32">
        <v>1.5669999999999999</v>
      </c>
      <c r="AJ7" s="33">
        <v>0.1807</v>
      </c>
      <c r="AK7" s="33">
        <v>0.18959999999999999</v>
      </c>
      <c r="AL7" s="33">
        <v>0.28320000000000001</v>
      </c>
      <c r="AM7" s="33">
        <v>0.30549999999999999</v>
      </c>
      <c r="AN7" s="33">
        <v>0.26240000000000002</v>
      </c>
    </row>
    <row r="8" spans="1:41">
      <c r="A8" s="29" t="s">
        <v>95</v>
      </c>
      <c r="B8" s="10">
        <v>2</v>
      </c>
      <c r="C8" s="29" t="s">
        <v>78</v>
      </c>
      <c r="D8" s="30">
        <v>598425.80000000005</v>
      </c>
      <c r="E8" s="30">
        <v>5853112.7999999998</v>
      </c>
      <c r="F8" s="31">
        <v>27.8</v>
      </c>
      <c r="H8" s="29" t="s">
        <v>111</v>
      </c>
      <c r="I8" s="27" t="s">
        <v>65</v>
      </c>
      <c r="J8" s="31">
        <v>0.1</v>
      </c>
      <c r="K8" s="31">
        <v>0.55000000000000004</v>
      </c>
      <c r="L8" s="17">
        <f>F8+J8</f>
        <v>27.900000000000002</v>
      </c>
      <c r="M8" s="16">
        <f>F8+K8</f>
        <v>28.35</v>
      </c>
      <c r="N8" s="12">
        <f>(L8+M8)/2</f>
        <v>28.125</v>
      </c>
      <c r="O8" s="11">
        <f>ROUND(N8,0)</f>
        <v>28</v>
      </c>
      <c r="P8" s="13">
        <v>0</v>
      </c>
      <c r="Q8" s="13">
        <f>K8</f>
        <v>0.55000000000000004</v>
      </c>
      <c r="R8" s="13">
        <f>P8+F8</f>
        <v>27.8</v>
      </c>
      <c r="S8" s="13">
        <f>F8+Q8</f>
        <v>28.35</v>
      </c>
      <c r="T8" s="13">
        <f>(R8+S8)/2</f>
        <v>28.075000000000003</v>
      </c>
      <c r="U8" s="14">
        <f>ROUND(T8,0)</f>
        <v>28</v>
      </c>
      <c r="V8" s="34">
        <v>0</v>
      </c>
      <c r="W8" s="31">
        <v>98.97</v>
      </c>
      <c r="X8" s="31">
        <v>1.03</v>
      </c>
      <c r="Y8" s="31">
        <v>0.79</v>
      </c>
      <c r="Z8" s="31">
        <v>0.61</v>
      </c>
      <c r="AA8" s="34">
        <v>1.03</v>
      </c>
      <c r="AB8" s="31">
        <v>0.85</v>
      </c>
      <c r="AC8" s="32">
        <v>1.7027000000000001</v>
      </c>
      <c r="AD8" s="33">
        <v>0.13500000000000001</v>
      </c>
      <c r="AE8" s="33">
        <v>0.1449</v>
      </c>
      <c r="AF8" s="33">
        <v>0.2117</v>
      </c>
      <c r="AG8" s="33">
        <v>0.22989999999999999</v>
      </c>
      <c r="AH8" s="33">
        <v>0.24959999999999999</v>
      </c>
      <c r="AI8" s="32">
        <v>1.6890000000000001</v>
      </c>
      <c r="AJ8" s="33">
        <v>0.13650000000000001</v>
      </c>
      <c r="AK8" s="33">
        <v>0.1464</v>
      </c>
      <c r="AL8" s="33">
        <v>0.23050000000000001</v>
      </c>
      <c r="AM8" s="33">
        <v>0.25040000000000001</v>
      </c>
      <c r="AN8" s="33">
        <v>0.21249999999999999</v>
      </c>
    </row>
    <row r="9" spans="1:41">
      <c r="A9" s="29" t="s">
        <v>95</v>
      </c>
      <c r="B9" s="10">
        <v>2</v>
      </c>
      <c r="C9" s="29" t="s">
        <v>78</v>
      </c>
      <c r="D9" s="30">
        <v>598425.80000000005</v>
      </c>
      <c r="E9" s="30">
        <v>5853112.7999999998</v>
      </c>
      <c r="F9" s="31">
        <v>27.8</v>
      </c>
      <c r="G9" s="16"/>
      <c r="H9" s="29" t="s">
        <v>111</v>
      </c>
      <c r="I9" s="27" t="s">
        <v>58</v>
      </c>
      <c r="J9" s="31">
        <v>0.55000000000000004</v>
      </c>
      <c r="K9" s="31">
        <v>1</v>
      </c>
      <c r="L9" s="17">
        <f>F9+J9</f>
        <v>28.35</v>
      </c>
      <c r="M9" s="16">
        <f>F9+K9</f>
        <v>28.8</v>
      </c>
      <c r="N9" s="12">
        <f>(L9+M9)/2</f>
        <v>28.575000000000003</v>
      </c>
      <c r="O9" s="11">
        <f>ROUND(N9,0)</f>
        <v>29</v>
      </c>
      <c r="P9" s="13">
        <f>J9</f>
        <v>0.55000000000000004</v>
      </c>
      <c r="Q9" s="13">
        <f>K9</f>
        <v>1</v>
      </c>
      <c r="R9" s="13">
        <f>P9+F9</f>
        <v>28.35</v>
      </c>
      <c r="S9" s="13">
        <f>F9+Q9</f>
        <v>28.8</v>
      </c>
      <c r="T9" s="13">
        <f>(R9+S9)/2</f>
        <v>28.575000000000003</v>
      </c>
      <c r="U9" s="14">
        <f>ROUND(T9,0)</f>
        <v>29</v>
      </c>
      <c r="V9" s="34">
        <v>0.02</v>
      </c>
      <c r="W9" s="31">
        <v>98.89</v>
      </c>
      <c r="X9" s="31">
        <v>1.0900000000000001</v>
      </c>
      <c r="Y9" s="31">
        <v>0.81</v>
      </c>
      <c r="Z9" s="31">
        <v>0.38</v>
      </c>
      <c r="AA9" s="34">
        <v>1.0900000000000001</v>
      </c>
      <c r="AB9" s="31">
        <v>0.66</v>
      </c>
      <c r="AC9" s="32">
        <v>1.7552000000000001</v>
      </c>
      <c r="AD9" s="33">
        <v>0.1439</v>
      </c>
      <c r="AE9" s="33">
        <v>0.1583</v>
      </c>
      <c r="AF9" s="33">
        <v>0.23019999999999999</v>
      </c>
      <c r="AG9" s="33">
        <v>0.2525</v>
      </c>
      <c r="AH9" s="33">
        <v>0.30869999999999997</v>
      </c>
      <c r="AI9" s="32">
        <v>1.7442</v>
      </c>
      <c r="AJ9" s="33">
        <v>0.14549999999999999</v>
      </c>
      <c r="AK9" s="33">
        <v>0.16</v>
      </c>
      <c r="AL9" s="33">
        <v>0.25380000000000003</v>
      </c>
      <c r="AM9" s="33">
        <v>0.30990000000000001</v>
      </c>
      <c r="AN9" s="33">
        <v>0.23080000000000001</v>
      </c>
    </row>
    <row r="10" spans="1:41">
      <c r="A10" s="29" t="s">
        <v>95</v>
      </c>
      <c r="B10" s="10">
        <v>2</v>
      </c>
      <c r="C10" s="29" t="s">
        <v>78</v>
      </c>
      <c r="D10" s="30">
        <v>598425.80000000005</v>
      </c>
      <c r="E10" s="30">
        <v>5853112.7999999998</v>
      </c>
      <c r="F10" s="31">
        <v>27.8</v>
      </c>
      <c r="H10" s="29" t="s">
        <v>112</v>
      </c>
      <c r="I10" s="27" t="s">
        <v>59</v>
      </c>
      <c r="J10" s="31">
        <v>1.08</v>
      </c>
      <c r="K10" s="31">
        <v>2</v>
      </c>
      <c r="L10" s="17">
        <f>F10+J10</f>
        <v>28.880000000000003</v>
      </c>
      <c r="M10" s="16">
        <f>F10+K10</f>
        <v>29.8</v>
      </c>
      <c r="N10" s="12">
        <f>(L10+M10)/2</f>
        <v>29.340000000000003</v>
      </c>
      <c r="O10" s="11">
        <f>ROUND(N10,0)</f>
        <v>29</v>
      </c>
      <c r="P10" s="13">
        <v>1</v>
      </c>
      <c r="Q10" s="13">
        <f>K10</f>
        <v>2</v>
      </c>
      <c r="R10" s="13">
        <f>P10+F10</f>
        <v>28.8</v>
      </c>
      <c r="S10" s="13">
        <f>F10+Q10</f>
        <v>29.8</v>
      </c>
      <c r="T10" s="13">
        <f>(R10+S10)/2</f>
        <v>29.3</v>
      </c>
      <c r="U10" s="14">
        <f>ROUND(T10,0)</f>
        <v>29</v>
      </c>
      <c r="V10" s="34">
        <v>0.45</v>
      </c>
      <c r="W10" s="31">
        <v>98.73</v>
      </c>
      <c r="X10" s="31">
        <v>0.82</v>
      </c>
      <c r="Y10" s="31">
        <v>0.55000000000000004</v>
      </c>
      <c r="Z10" s="31">
        <v>0.33</v>
      </c>
      <c r="AA10" s="34">
        <v>0.82</v>
      </c>
      <c r="AB10" s="31">
        <v>0.59</v>
      </c>
      <c r="AC10" s="32">
        <v>1.9927999999999999</v>
      </c>
      <c r="AD10" s="33">
        <v>0.1525</v>
      </c>
      <c r="AE10" s="33">
        <v>0.1736</v>
      </c>
      <c r="AF10" s="33">
        <v>0.25829999999999997</v>
      </c>
      <c r="AG10" s="33">
        <v>0.3039</v>
      </c>
      <c r="AH10" s="33">
        <v>0.35720000000000002</v>
      </c>
      <c r="AI10" s="32">
        <v>1.9664999999999999</v>
      </c>
      <c r="AJ10" s="33">
        <v>0.15440000000000001</v>
      </c>
      <c r="AK10" s="33">
        <v>0.17560000000000001</v>
      </c>
      <c r="AL10" s="33">
        <v>0.30370000000000003</v>
      </c>
      <c r="AM10" s="33">
        <v>0.35649999999999998</v>
      </c>
      <c r="AN10" s="33">
        <v>0.2586</v>
      </c>
    </row>
    <row r="11" spans="1:41">
      <c r="A11" s="29" t="s">
        <v>95</v>
      </c>
      <c r="B11" s="10">
        <v>2</v>
      </c>
      <c r="C11" s="29" t="s">
        <v>78</v>
      </c>
      <c r="D11" s="30">
        <v>598425.80000000005</v>
      </c>
      <c r="E11" s="30">
        <v>5853112.7999999998</v>
      </c>
      <c r="F11" s="31">
        <v>27.8</v>
      </c>
      <c r="H11" s="29" t="s">
        <v>116</v>
      </c>
      <c r="I11" s="27" t="s">
        <v>63</v>
      </c>
      <c r="J11" s="31">
        <v>3.03</v>
      </c>
      <c r="K11" s="31">
        <v>4</v>
      </c>
      <c r="L11" s="17">
        <f>F11+J11</f>
        <v>30.830000000000002</v>
      </c>
      <c r="M11" s="16">
        <f>F11+K11</f>
        <v>31.8</v>
      </c>
      <c r="N11" s="12">
        <f>(L11+M11)/2</f>
        <v>31.315000000000001</v>
      </c>
      <c r="O11" s="11">
        <f>ROUND(N11,0)</f>
        <v>31</v>
      </c>
      <c r="P11" s="13">
        <v>2</v>
      </c>
      <c r="Q11" s="13">
        <v>4.54</v>
      </c>
      <c r="R11" s="13">
        <f>P11+F11</f>
        <v>29.8</v>
      </c>
      <c r="S11" s="13">
        <f>F11+Q11</f>
        <v>32.340000000000003</v>
      </c>
      <c r="T11" s="13">
        <f>(R11+S11)/2</f>
        <v>31.07</v>
      </c>
      <c r="U11" s="14">
        <f>ROUND(T11,0)</f>
        <v>31</v>
      </c>
      <c r="V11" s="34">
        <v>0.01</v>
      </c>
      <c r="W11" s="31">
        <v>99.45</v>
      </c>
      <c r="X11" s="31">
        <v>0.53</v>
      </c>
      <c r="Y11" s="31">
        <v>0.4</v>
      </c>
      <c r="Z11" s="31">
        <v>0.24</v>
      </c>
      <c r="AA11" s="34">
        <v>0.53</v>
      </c>
      <c r="AB11" s="31">
        <v>0.37</v>
      </c>
      <c r="AC11" s="32">
        <v>2.0819999999999999</v>
      </c>
      <c r="AD11" s="33">
        <v>0.16850000000000001</v>
      </c>
      <c r="AE11" s="33">
        <v>0.19750000000000001</v>
      </c>
      <c r="AF11" s="33">
        <v>0.31990000000000002</v>
      </c>
      <c r="AG11" s="33">
        <v>0.3508</v>
      </c>
      <c r="AH11" s="33">
        <v>0.3866</v>
      </c>
      <c r="AI11" s="32">
        <v>2.0587</v>
      </c>
      <c r="AJ11" s="33">
        <v>0.1706</v>
      </c>
      <c r="AK11" s="33">
        <v>0.1993</v>
      </c>
      <c r="AL11" s="33">
        <v>0.3513</v>
      </c>
      <c r="AM11" s="33">
        <v>0.38700000000000001</v>
      </c>
      <c r="AN11" s="33">
        <v>0.32040000000000002</v>
      </c>
      <c r="AO11" s="2"/>
    </row>
    <row r="12" spans="1:41">
      <c r="A12" s="29" t="s">
        <v>95</v>
      </c>
      <c r="B12" s="10">
        <v>2</v>
      </c>
      <c r="C12" s="29" t="s">
        <v>78</v>
      </c>
      <c r="D12" s="30">
        <v>598425.80000000005</v>
      </c>
      <c r="E12" s="30">
        <v>5853112.7999999998</v>
      </c>
      <c r="F12" s="31">
        <v>27.8</v>
      </c>
      <c r="H12" s="29" t="s">
        <v>117</v>
      </c>
      <c r="I12" s="27" t="s">
        <v>61</v>
      </c>
      <c r="J12" s="31">
        <v>4.54</v>
      </c>
      <c r="K12" s="31">
        <v>5</v>
      </c>
      <c r="L12" s="17">
        <f>F12+J12</f>
        <v>32.340000000000003</v>
      </c>
      <c r="M12" s="16">
        <f>F12+K12</f>
        <v>32.799999999999997</v>
      </c>
      <c r="N12" s="12">
        <f>(L12+M12)/2</f>
        <v>32.57</v>
      </c>
      <c r="O12" s="11">
        <f>ROUND(N12,0)</f>
        <v>33</v>
      </c>
      <c r="P12" s="13">
        <f>J12</f>
        <v>4.54</v>
      </c>
      <c r="Q12" s="13">
        <f>K12</f>
        <v>5</v>
      </c>
      <c r="R12" s="13">
        <f>P12+F12</f>
        <v>32.340000000000003</v>
      </c>
      <c r="S12" s="13">
        <f>F12+Q12</f>
        <v>32.799999999999997</v>
      </c>
      <c r="T12" s="13">
        <f>(R12+S12)/2</f>
        <v>32.57</v>
      </c>
      <c r="U12" s="14">
        <f>ROUND(T12,0)</f>
        <v>33</v>
      </c>
      <c r="V12" s="34">
        <v>0.6</v>
      </c>
      <c r="W12" s="31">
        <v>98.59</v>
      </c>
      <c r="X12" s="31">
        <v>0.82</v>
      </c>
      <c r="Y12" s="31">
        <v>0.73</v>
      </c>
      <c r="Z12" s="31">
        <v>0.43</v>
      </c>
      <c r="AA12" s="34">
        <v>0.82</v>
      </c>
      <c r="AB12" s="31">
        <v>0.52</v>
      </c>
      <c r="AC12" s="32">
        <v>2.1175000000000002</v>
      </c>
      <c r="AD12" s="33">
        <v>0.18920000000000001</v>
      </c>
      <c r="AE12" s="33">
        <v>0.23619999999999999</v>
      </c>
      <c r="AF12" s="33">
        <v>0.36780000000000002</v>
      </c>
      <c r="AG12" s="33">
        <v>0.40060000000000001</v>
      </c>
      <c r="AH12" s="33">
        <v>0.43630000000000002</v>
      </c>
      <c r="AI12" s="32">
        <v>2.0771000000000002</v>
      </c>
      <c r="AJ12" s="33">
        <v>0.19259999999999999</v>
      </c>
      <c r="AK12" s="33">
        <v>0.2399</v>
      </c>
      <c r="AL12" s="33">
        <v>0.40010000000000001</v>
      </c>
      <c r="AM12" s="33">
        <v>0.43530000000000002</v>
      </c>
      <c r="AN12" s="33">
        <v>0.36759999999999998</v>
      </c>
    </row>
    <row r="13" spans="1:41">
      <c r="A13" s="29" t="s">
        <v>95</v>
      </c>
      <c r="B13" s="10">
        <v>2</v>
      </c>
      <c r="C13" s="29" t="s">
        <v>78</v>
      </c>
      <c r="D13" s="30">
        <v>598425.80000000005</v>
      </c>
      <c r="E13" s="30">
        <v>5853112.7999999998</v>
      </c>
      <c r="F13" s="31">
        <v>27.8</v>
      </c>
      <c r="G13" s="24"/>
      <c r="H13" s="29" t="s">
        <v>118</v>
      </c>
      <c r="I13" s="27" t="s">
        <v>62</v>
      </c>
      <c r="J13" s="31">
        <v>5.24</v>
      </c>
      <c r="K13" s="31">
        <v>5.95</v>
      </c>
      <c r="L13" s="17">
        <f>F13+J13</f>
        <v>33.04</v>
      </c>
      <c r="M13" s="16">
        <f>F13+K13</f>
        <v>33.75</v>
      </c>
      <c r="N13" s="12">
        <f>(L13+M13)/2</f>
        <v>33.394999999999996</v>
      </c>
      <c r="O13" s="11">
        <f>ROUND(N13,0)</f>
        <v>33</v>
      </c>
      <c r="P13" s="13">
        <v>5</v>
      </c>
      <c r="Q13" s="13">
        <f>K13</f>
        <v>5.95</v>
      </c>
      <c r="R13" s="13">
        <f>P13+F13</f>
        <v>32.799999999999997</v>
      </c>
      <c r="S13" s="13">
        <f>F13+Q13</f>
        <v>33.75</v>
      </c>
      <c r="T13" s="13">
        <f>(R13+S13)/2</f>
        <v>33.274999999999999</v>
      </c>
      <c r="U13" s="14">
        <f>ROUND(T13,0)</f>
        <v>33</v>
      </c>
      <c r="V13" s="34">
        <v>0.49</v>
      </c>
      <c r="W13" s="31">
        <v>98.63</v>
      </c>
      <c r="X13" s="31">
        <v>0.87</v>
      </c>
      <c r="Y13" s="31">
        <v>0.81</v>
      </c>
      <c r="Z13" s="31">
        <v>0.42</v>
      </c>
      <c r="AA13" s="34">
        <v>0.87</v>
      </c>
      <c r="AB13" s="31">
        <v>0.48</v>
      </c>
      <c r="AC13" s="32">
        <v>1.6825000000000001</v>
      </c>
      <c r="AD13" s="33">
        <v>0.2263</v>
      </c>
      <c r="AE13" s="33">
        <v>0.25640000000000002</v>
      </c>
      <c r="AF13" s="33">
        <v>0.34949999999999998</v>
      </c>
      <c r="AG13" s="33">
        <v>0.38069999999999998</v>
      </c>
      <c r="AH13" s="33">
        <v>0.41439999999999999</v>
      </c>
      <c r="AI13" s="32">
        <v>1.6516999999999999</v>
      </c>
      <c r="AJ13" s="33">
        <v>0.2303</v>
      </c>
      <c r="AK13" s="33">
        <v>0.2571</v>
      </c>
      <c r="AL13" s="33">
        <v>0.38040000000000002</v>
      </c>
      <c r="AM13" s="33">
        <v>0.41370000000000001</v>
      </c>
      <c r="AN13" s="33">
        <v>0.34949999999999998</v>
      </c>
    </row>
    <row r="14" spans="1:41">
      <c r="A14" s="29" t="s">
        <v>96</v>
      </c>
      <c r="B14" s="10">
        <v>2</v>
      </c>
      <c r="C14" s="29" t="s">
        <v>79</v>
      </c>
      <c r="D14" s="30">
        <v>597924.5</v>
      </c>
      <c r="E14" s="30">
        <v>5853186.5</v>
      </c>
      <c r="F14" s="31">
        <v>25.5</v>
      </c>
      <c r="H14" s="29" t="s">
        <v>111</v>
      </c>
      <c r="I14" s="27" t="s">
        <v>65</v>
      </c>
      <c r="J14" s="31">
        <v>0.22</v>
      </c>
      <c r="K14" s="31">
        <v>0.61</v>
      </c>
      <c r="L14" s="17">
        <f>F14+J14</f>
        <v>25.72</v>
      </c>
      <c r="M14" s="16">
        <f>F14+K14</f>
        <v>26.11</v>
      </c>
      <c r="N14" s="12">
        <f>(L14+M14)/2</f>
        <v>25.914999999999999</v>
      </c>
      <c r="O14" s="11">
        <f>ROUND(N14,0)</f>
        <v>26</v>
      </c>
      <c r="P14" s="13">
        <v>0</v>
      </c>
      <c r="Q14" s="13">
        <f>K14</f>
        <v>0.61</v>
      </c>
      <c r="R14" s="13">
        <f>P14+F14</f>
        <v>25.5</v>
      </c>
      <c r="S14" s="13">
        <f>F14+Q14</f>
        <v>26.11</v>
      </c>
      <c r="T14" s="13">
        <f>(R14+S14)/2</f>
        <v>25.805</v>
      </c>
      <c r="U14" s="14">
        <f>ROUND(T14,0)</f>
        <v>26</v>
      </c>
      <c r="V14" s="34">
        <v>0.08</v>
      </c>
      <c r="W14" s="31">
        <v>99.31</v>
      </c>
      <c r="X14" s="31">
        <v>0.61</v>
      </c>
      <c r="Y14" s="31">
        <v>0.39</v>
      </c>
      <c r="Z14" s="31">
        <v>0.25</v>
      </c>
      <c r="AA14" s="34">
        <v>0.61</v>
      </c>
      <c r="AB14" s="31">
        <v>0.47</v>
      </c>
      <c r="AC14" s="32">
        <v>1.8068</v>
      </c>
      <c r="AD14" s="33">
        <v>0.1704</v>
      </c>
      <c r="AE14" s="33">
        <v>0.19089999999999999</v>
      </c>
      <c r="AF14" s="33">
        <v>0.28620000000000001</v>
      </c>
      <c r="AG14" s="33">
        <v>0.308</v>
      </c>
      <c r="AH14" s="33">
        <v>0.33139999999999997</v>
      </c>
      <c r="AI14" s="32">
        <v>1.7795000000000001</v>
      </c>
      <c r="AJ14" s="33">
        <v>0.17319999999999999</v>
      </c>
      <c r="AK14" s="33">
        <v>0.19209999999999999</v>
      </c>
      <c r="AL14" s="33">
        <v>0.30830000000000002</v>
      </c>
      <c r="AM14" s="33">
        <v>0.33160000000000001</v>
      </c>
      <c r="AN14" s="33">
        <v>0.28660000000000002</v>
      </c>
    </row>
    <row r="15" spans="1:41">
      <c r="A15" s="29" t="s">
        <v>96</v>
      </c>
      <c r="B15" s="10">
        <v>2</v>
      </c>
      <c r="C15" s="29" t="s">
        <v>79</v>
      </c>
      <c r="D15" s="30">
        <v>597924.5</v>
      </c>
      <c r="E15" s="30">
        <v>5853186.5</v>
      </c>
      <c r="F15" s="31">
        <v>25.5</v>
      </c>
      <c r="G15" s="16"/>
      <c r="H15" s="29" t="s">
        <v>111</v>
      </c>
      <c r="I15" s="27" t="s">
        <v>58</v>
      </c>
      <c r="J15" s="31">
        <v>0.61</v>
      </c>
      <c r="K15" s="31">
        <v>1</v>
      </c>
      <c r="L15" s="17">
        <f>F15+J15</f>
        <v>26.11</v>
      </c>
      <c r="M15" s="16">
        <f>F15+K15</f>
        <v>26.5</v>
      </c>
      <c r="N15" s="12">
        <f>(L15+M15)/2</f>
        <v>26.305</v>
      </c>
      <c r="O15" s="11">
        <f>ROUND(N15,0)</f>
        <v>26</v>
      </c>
      <c r="P15" s="13">
        <f>J15</f>
        <v>0.61</v>
      </c>
      <c r="Q15" s="13">
        <f>K15</f>
        <v>1</v>
      </c>
      <c r="R15" s="13">
        <f>P15+F15</f>
        <v>26.11</v>
      </c>
      <c r="S15" s="13">
        <f>F15+Q15</f>
        <v>26.5</v>
      </c>
      <c r="T15" s="13">
        <f>(R15+S15)/2</f>
        <v>26.305</v>
      </c>
      <c r="U15" s="14">
        <f>ROUND(T15,0)</f>
        <v>26</v>
      </c>
      <c r="V15" s="34">
        <v>0.32</v>
      </c>
      <c r="W15" s="31">
        <v>98.8</v>
      </c>
      <c r="X15" s="31">
        <v>0.89</v>
      </c>
      <c r="Y15" s="31">
        <v>0.69</v>
      </c>
      <c r="Z15" s="31">
        <v>0.34</v>
      </c>
      <c r="AA15" s="34">
        <v>0.89</v>
      </c>
      <c r="AB15" s="31">
        <v>0.54</v>
      </c>
      <c r="AC15" s="32">
        <v>1.7867999999999999</v>
      </c>
      <c r="AD15" s="33">
        <v>0.17460000000000001</v>
      </c>
      <c r="AE15" s="33">
        <v>0.19439999999999999</v>
      </c>
      <c r="AF15" s="33">
        <v>0.29049999999999998</v>
      </c>
      <c r="AG15" s="33">
        <v>0.31190000000000001</v>
      </c>
      <c r="AH15" s="33">
        <v>0.33500000000000002</v>
      </c>
      <c r="AI15" s="32">
        <v>1.7533000000000001</v>
      </c>
      <c r="AJ15" s="33">
        <v>0.1779</v>
      </c>
      <c r="AK15" s="33">
        <v>0.1958</v>
      </c>
      <c r="AL15" s="33">
        <v>0.312</v>
      </c>
      <c r="AM15" s="33">
        <v>0.33489999999999998</v>
      </c>
      <c r="AN15" s="33">
        <v>0.29070000000000001</v>
      </c>
    </row>
    <row r="16" spans="1:41">
      <c r="A16" s="29" t="s">
        <v>96</v>
      </c>
      <c r="B16" s="10">
        <v>2</v>
      </c>
      <c r="C16" s="29" t="s">
        <v>79</v>
      </c>
      <c r="D16" s="30">
        <v>597924.5</v>
      </c>
      <c r="E16" s="30">
        <v>5853186.5</v>
      </c>
      <c r="F16" s="31">
        <v>25.5</v>
      </c>
      <c r="G16" s="16"/>
      <c r="H16" s="29" t="s">
        <v>112</v>
      </c>
      <c r="I16" s="27" t="s">
        <v>59</v>
      </c>
      <c r="J16" s="31">
        <v>1.56</v>
      </c>
      <c r="K16" s="31">
        <v>2</v>
      </c>
      <c r="L16" s="17">
        <f>F16+J16</f>
        <v>27.06</v>
      </c>
      <c r="M16" s="16">
        <f>F16+K16</f>
        <v>27.5</v>
      </c>
      <c r="N16" s="12">
        <f>(L16+M16)/2</f>
        <v>27.28</v>
      </c>
      <c r="O16" s="11">
        <f>ROUND(N16,0)</f>
        <v>27</v>
      </c>
      <c r="P16" s="13">
        <v>1</v>
      </c>
      <c r="Q16" s="13">
        <f>K16</f>
        <v>2</v>
      </c>
      <c r="R16" s="13">
        <f>P16+F16</f>
        <v>26.5</v>
      </c>
      <c r="S16" s="13">
        <f>F16+Q16</f>
        <v>27.5</v>
      </c>
      <c r="T16" s="13">
        <f>(R16+S16)/2</f>
        <v>27</v>
      </c>
      <c r="U16" s="14">
        <f>ROUND(T16,0)</f>
        <v>27</v>
      </c>
      <c r="V16" s="34">
        <v>0</v>
      </c>
      <c r="W16" s="31">
        <v>99.39</v>
      </c>
      <c r="X16" s="31">
        <v>0.61</v>
      </c>
      <c r="Y16" s="31">
        <v>0.59</v>
      </c>
      <c r="Z16" s="31">
        <v>0.24</v>
      </c>
      <c r="AA16" s="34">
        <v>0.61</v>
      </c>
      <c r="AB16" s="31">
        <v>0.26</v>
      </c>
      <c r="AC16" s="32">
        <v>1.6106</v>
      </c>
      <c r="AD16" s="33">
        <v>0.20300000000000001</v>
      </c>
      <c r="AE16" s="33">
        <v>0.23069999999999999</v>
      </c>
      <c r="AF16" s="33">
        <v>0.30659999999999998</v>
      </c>
      <c r="AG16" s="33">
        <v>0.32690000000000002</v>
      </c>
      <c r="AH16" s="33">
        <v>0.34860000000000002</v>
      </c>
      <c r="AI16" s="32">
        <v>1.6021000000000001</v>
      </c>
      <c r="AJ16" s="33">
        <v>0.20419999999999999</v>
      </c>
      <c r="AK16" s="33">
        <v>0.2319</v>
      </c>
      <c r="AL16" s="33">
        <v>0.3271</v>
      </c>
      <c r="AM16" s="33">
        <v>0.34870000000000001</v>
      </c>
      <c r="AN16" s="33">
        <v>0.30690000000000001</v>
      </c>
    </row>
    <row r="17" spans="1:41">
      <c r="A17" s="29" t="s">
        <v>96</v>
      </c>
      <c r="B17" s="10">
        <v>2</v>
      </c>
      <c r="C17" s="29" t="s">
        <v>79</v>
      </c>
      <c r="D17" s="30">
        <v>597924.5</v>
      </c>
      <c r="E17" s="30">
        <v>5853186.5</v>
      </c>
      <c r="F17" s="31">
        <v>25.5</v>
      </c>
      <c r="H17" s="29" t="s">
        <v>113</v>
      </c>
      <c r="I17" s="27" t="s">
        <v>60</v>
      </c>
      <c r="J17" s="31">
        <v>2.02</v>
      </c>
      <c r="K17" s="31">
        <v>3</v>
      </c>
      <c r="L17" s="17">
        <f>F17+J17</f>
        <v>27.52</v>
      </c>
      <c r="M17" s="16">
        <f>F17+K17</f>
        <v>28.5</v>
      </c>
      <c r="N17" s="12">
        <f>(L17+M17)/2</f>
        <v>28.009999999999998</v>
      </c>
      <c r="O17" s="11">
        <f>ROUND(N17,0)</f>
        <v>28</v>
      </c>
      <c r="P17" s="13">
        <v>2</v>
      </c>
      <c r="Q17" s="13">
        <f>K17</f>
        <v>3</v>
      </c>
      <c r="R17" s="13">
        <f>P17+F17</f>
        <v>27.5</v>
      </c>
      <c r="S17" s="13">
        <f>F17+Q17</f>
        <v>28.5</v>
      </c>
      <c r="T17" s="13">
        <f>(R17+S17)/2</f>
        <v>28</v>
      </c>
      <c r="U17" s="14">
        <f>ROUND(T17,0)</f>
        <v>28</v>
      </c>
      <c r="V17" s="34">
        <v>0</v>
      </c>
      <c r="W17" s="31">
        <v>99.37</v>
      </c>
      <c r="X17" s="31">
        <v>0.63</v>
      </c>
      <c r="Y17" s="31">
        <v>0.51</v>
      </c>
      <c r="Z17" s="31">
        <v>0.28999999999999998</v>
      </c>
      <c r="AA17" s="34">
        <v>0.63</v>
      </c>
      <c r="AB17" s="31">
        <v>0.42</v>
      </c>
      <c r="AC17" s="32">
        <v>1.7855000000000001</v>
      </c>
      <c r="AD17" s="33">
        <v>0.1726</v>
      </c>
      <c r="AE17" s="33">
        <v>0.1925</v>
      </c>
      <c r="AF17" s="33">
        <v>0.28710000000000002</v>
      </c>
      <c r="AG17" s="33">
        <v>0.30819999999999997</v>
      </c>
      <c r="AH17" s="33">
        <v>0.33090000000000003</v>
      </c>
      <c r="AI17" s="32">
        <v>1.7599</v>
      </c>
      <c r="AJ17" s="33">
        <v>0.1754</v>
      </c>
      <c r="AK17" s="33">
        <v>0.19370000000000001</v>
      </c>
      <c r="AL17" s="33">
        <v>0.30859999999999999</v>
      </c>
      <c r="AM17" s="33">
        <v>0.33119999999999999</v>
      </c>
      <c r="AN17" s="33">
        <v>0.28749999999999998</v>
      </c>
    </row>
    <row r="18" spans="1:41">
      <c r="A18" s="29" t="s">
        <v>96</v>
      </c>
      <c r="B18" s="10">
        <v>2</v>
      </c>
      <c r="C18" s="29" t="s">
        <v>79</v>
      </c>
      <c r="D18" s="30">
        <v>597924.5</v>
      </c>
      <c r="E18" s="30">
        <v>5853186.5</v>
      </c>
      <c r="F18" s="31">
        <v>25.5</v>
      </c>
      <c r="G18" s="16"/>
      <c r="H18" s="29" t="s">
        <v>116</v>
      </c>
      <c r="I18" s="27" t="s">
        <v>63</v>
      </c>
      <c r="J18" s="31">
        <v>3</v>
      </c>
      <c r="K18" s="31">
        <v>4</v>
      </c>
      <c r="L18" s="17">
        <f>F18+J18</f>
        <v>28.5</v>
      </c>
      <c r="M18" s="16">
        <f>F18+K18</f>
        <v>29.5</v>
      </c>
      <c r="N18" s="12">
        <f>(L18+M18)/2</f>
        <v>29</v>
      </c>
      <c r="O18" s="11">
        <f>ROUND(N18,0)</f>
        <v>29</v>
      </c>
      <c r="P18" s="13">
        <f>J18</f>
        <v>3</v>
      </c>
      <c r="Q18" s="13">
        <f>K18</f>
        <v>4</v>
      </c>
      <c r="R18" s="13">
        <f>P18+F18</f>
        <v>28.5</v>
      </c>
      <c r="S18" s="13">
        <f>F18+Q18</f>
        <v>29.5</v>
      </c>
      <c r="T18" s="13">
        <f>(R18+S18)/2</f>
        <v>29</v>
      </c>
      <c r="U18" s="14">
        <f>ROUND(T18,0)</f>
        <v>29</v>
      </c>
      <c r="V18" s="34">
        <v>0.21</v>
      </c>
      <c r="W18" s="31">
        <v>99.16</v>
      </c>
      <c r="X18" s="31">
        <v>0.63</v>
      </c>
      <c r="Y18" s="31">
        <v>0.41</v>
      </c>
      <c r="Z18" s="31">
        <v>0.26</v>
      </c>
      <c r="AA18" s="34">
        <v>0.63</v>
      </c>
      <c r="AB18" s="31">
        <v>0.48</v>
      </c>
      <c r="AC18" s="32">
        <v>2.1682000000000001</v>
      </c>
      <c r="AD18" s="33">
        <v>0.16259999999999999</v>
      </c>
      <c r="AE18" s="33">
        <v>0.1895</v>
      </c>
      <c r="AF18" s="33">
        <v>0.31869999999999998</v>
      </c>
      <c r="AG18" s="33">
        <v>0.35249999999999998</v>
      </c>
      <c r="AH18" s="33">
        <v>0.39229999999999998</v>
      </c>
      <c r="AI18" s="32">
        <v>2.1392000000000002</v>
      </c>
      <c r="AJ18" s="33">
        <v>0.16489999999999999</v>
      </c>
      <c r="AK18" s="33">
        <v>0.1913</v>
      </c>
      <c r="AL18" s="33">
        <v>0.35270000000000001</v>
      </c>
      <c r="AM18" s="33">
        <v>0.39229999999999998</v>
      </c>
      <c r="AN18" s="33">
        <v>0.31909999999999999</v>
      </c>
    </row>
    <row r="19" spans="1:41">
      <c r="A19" s="29" t="s">
        <v>96</v>
      </c>
      <c r="B19" s="10">
        <v>2</v>
      </c>
      <c r="C19" s="29" t="s">
        <v>79</v>
      </c>
      <c r="D19" s="30">
        <v>597924.5</v>
      </c>
      <c r="E19" s="30">
        <v>5853186.5</v>
      </c>
      <c r="F19" s="31">
        <v>25.5</v>
      </c>
      <c r="H19" s="29" t="s">
        <v>117</v>
      </c>
      <c r="I19" s="27" t="s">
        <v>61</v>
      </c>
      <c r="J19" s="31">
        <v>4.03</v>
      </c>
      <c r="K19" s="31">
        <v>5</v>
      </c>
      <c r="L19" s="17">
        <f>F19+J19</f>
        <v>29.53</v>
      </c>
      <c r="M19" s="16">
        <f>F19+K19</f>
        <v>30.5</v>
      </c>
      <c r="N19" s="12">
        <f>(L19+M19)/2</f>
        <v>30.015000000000001</v>
      </c>
      <c r="O19" s="11">
        <f>ROUND(N19,0)</f>
        <v>30</v>
      </c>
      <c r="P19" s="13">
        <v>4</v>
      </c>
      <c r="Q19" s="13">
        <f>K19</f>
        <v>5</v>
      </c>
      <c r="R19" s="13">
        <f>P19+F19</f>
        <v>29.5</v>
      </c>
      <c r="S19" s="13">
        <f>F19+Q19</f>
        <v>30.5</v>
      </c>
      <c r="T19" s="13">
        <f>(R19+S19)/2</f>
        <v>30</v>
      </c>
      <c r="U19" s="14">
        <f>ROUND(T19,0)</f>
        <v>30</v>
      </c>
      <c r="V19" s="34">
        <v>0</v>
      </c>
      <c r="W19" s="31">
        <v>99.48</v>
      </c>
      <c r="X19" s="31">
        <v>0.52</v>
      </c>
      <c r="Y19" s="31">
        <v>0.39</v>
      </c>
      <c r="Z19" s="31">
        <v>0.25</v>
      </c>
      <c r="AA19" s="34">
        <v>0.52</v>
      </c>
      <c r="AB19" s="31">
        <v>0.38</v>
      </c>
      <c r="AC19" s="32">
        <v>1.6497999999999999</v>
      </c>
      <c r="AD19" s="33">
        <v>0.20300000000000001</v>
      </c>
      <c r="AE19" s="33">
        <v>0.24129999999999999</v>
      </c>
      <c r="AF19" s="33">
        <v>0.31340000000000001</v>
      </c>
      <c r="AG19" s="33">
        <v>0.33500000000000002</v>
      </c>
      <c r="AH19" s="33">
        <v>0.3604</v>
      </c>
      <c r="AI19" s="32">
        <v>1.6323000000000001</v>
      </c>
      <c r="AJ19" s="33">
        <v>0.2054</v>
      </c>
      <c r="AK19" s="33">
        <v>0.24399999999999999</v>
      </c>
      <c r="AL19" s="33">
        <v>0.33529999999999999</v>
      </c>
      <c r="AM19" s="33">
        <v>0.3609</v>
      </c>
      <c r="AN19" s="33">
        <v>0.31380000000000002</v>
      </c>
    </row>
    <row r="20" spans="1:41">
      <c r="A20" s="29" t="s">
        <v>97</v>
      </c>
      <c r="B20" s="10">
        <v>2</v>
      </c>
      <c r="C20" s="29" t="s">
        <v>80</v>
      </c>
      <c r="D20" s="30">
        <v>597946.6</v>
      </c>
      <c r="E20" s="30">
        <v>5852379.4000000004</v>
      </c>
      <c r="F20" s="31">
        <v>25.3</v>
      </c>
      <c r="G20" s="16"/>
      <c r="H20" s="29" t="s">
        <v>111</v>
      </c>
      <c r="I20" s="27" t="s">
        <v>65</v>
      </c>
      <c r="J20" s="31">
        <v>0.3</v>
      </c>
      <c r="K20" s="31">
        <v>0.65</v>
      </c>
      <c r="L20" s="17">
        <f>F20+J20</f>
        <v>25.6</v>
      </c>
      <c r="M20" s="16">
        <f>F20+K20</f>
        <v>25.95</v>
      </c>
      <c r="N20" s="12">
        <f>(L20+M20)/2</f>
        <v>25.774999999999999</v>
      </c>
      <c r="O20" s="11">
        <f>ROUND(N20,0)</f>
        <v>26</v>
      </c>
      <c r="P20" s="13">
        <v>0</v>
      </c>
      <c r="Q20" s="13">
        <f>K20</f>
        <v>0.65</v>
      </c>
      <c r="R20" s="13">
        <f>P20+F20</f>
        <v>25.3</v>
      </c>
      <c r="S20" s="13">
        <f>F20+Q20</f>
        <v>25.95</v>
      </c>
      <c r="T20" s="13">
        <f>(R20+S20)/2</f>
        <v>25.625</v>
      </c>
      <c r="U20" s="14">
        <f>ROUND(T20,0)</f>
        <v>26</v>
      </c>
      <c r="V20" s="34">
        <v>0</v>
      </c>
      <c r="W20" s="31">
        <v>99.28</v>
      </c>
      <c r="X20" s="31">
        <v>0.72</v>
      </c>
      <c r="Y20" s="31">
        <v>0.44</v>
      </c>
      <c r="Z20" s="31">
        <v>0.3</v>
      </c>
      <c r="AA20" s="34">
        <v>0.72</v>
      </c>
      <c r="AB20" s="31">
        <v>0.57999999999999996</v>
      </c>
      <c r="AC20" s="32">
        <v>1.9430000000000001</v>
      </c>
      <c r="AD20" s="33">
        <v>0.14549999999999999</v>
      </c>
      <c r="AE20" s="33">
        <v>0.16350000000000001</v>
      </c>
      <c r="AF20" s="33">
        <v>0.25919999999999999</v>
      </c>
      <c r="AG20" s="33">
        <v>0.28270000000000001</v>
      </c>
      <c r="AH20" s="33">
        <v>0.30840000000000001</v>
      </c>
      <c r="AI20" s="32">
        <v>1.9232</v>
      </c>
      <c r="AJ20" s="33">
        <v>0.14729999999999999</v>
      </c>
      <c r="AK20" s="33">
        <v>0.16539999999999999</v>
      </c>
      <c r="AL20" s="33">
        <v>0.2833</v>
      </c>
      <c r="AM20" s="33">
        <v>0.30880000000000002</v>
      </c>
      <c r="AN20" s="33">
        <v>0.25979999999999998</v>
      </c>
    </row>
    <row r="21" spans="1:41">
      <c r="A21" s="29" t="s">
        <v>97</v>
      </c>
      <c r="B21" s="10">
        <v>2</v>
      </c>
      <c r="C21" s="29" t="s">
        <v>80</v>
      </c>
      <c r="D21" s="30">
        <v>597946.6</v>
      </c>
      <c r="E21" s="30">
        <v>5852379.4000000004</v>
      </c>
      <c r="F21" s="31">
        <v>25.3</v>
      </c>
      <c r="G21" s="16"/>
      <c r="H21" s="29" t="s">
        <v>111</v>
      </c>
      <c r="I21" s="27" t="s">
        <v>58</v>
      </c>
      <c r="J21" s="31">
        <v>0.65</v>
      </c>
      <c r="K21" s="31">
        <v>1</v>
      </c>
      <c r="L21" s="17">
        <f>F21+J21</f>
        <v>25.95</v>
      </c>
      <c r="M21" s="16">
        <f>F21+K21</f>
        <v>26.3</v>
      </c>
      <c r="N21" s="12">
        <f>(L21+M21)/2</f>
        <v>26.125</v>
      </c>
      <c r="O21" s="11">
        <f>ROUND(N21,0)</f>
        <v>26</v>
      </c>
      <c r="P21" s="13">
        <f>J21</f>
        <v>0.65</v>
      </c>
      <c r="Q21" s="13">
        <f>K21</f>
        <v>1</v>
      </c>
      <c r="R21" s="13">
        <f>P21+F21</f>
        <v>25.95</v>
      </c>
      <c r="S21" s="13">
        <f>F21+Q21</f>
        <v>26.3</v>
      </c>
      <c r="T21" s="13">
        <f>(R21+S21)/2</f>
        <v>26.125</v>
      </c>
      <c r="U21" s="14">
        <f>ROUND(T21,0)</f>
        <v>26</v>
      </c>
      <c r="V21" s="34">
        <v>0.05</v>
      </c>
      <c r="W21" s="31">
        <v>98.88</v>
      </c>
      <c r="X21" s="31">
        <v>1.07</v>
      </c>
      <c r="Y21" s="31">
        <v>0.77</v>
      </c>
      <c r="Z21" s="31">
        <v>0.36</v>
      </c>
      <c r="AA21" s="34">
        <v>1.07</v>
      </c>
      <c r="AB21" s="31">
        <v>0.65</v>
      </c>
      <c r="AC21" s="32">
        <v>1.9710000000000001</v>
      </c>
      <c r="AD21" s="33">
        <v>0.14660000000000001</v>
      </c>
      <c r="AE21" s="33">
        <v>0.1656</v>
      </c>
      <c r="AF21" s="33">
        <v>0.26540000000000002</v>
      </c>
      <c r="AG21" s="33">
        <v>0.28889999999999999</v>
      </c>
      <c r="AH21" s="33">
        <v>0.3145</v>
      </c>
      <c r="AI21" s="32">
        <v>1.9469000000000001</v>
      </c>
      <c r="AJ21" s="33">
        <v>0.1487</v>
      </c>
      <c r="AK21" s="33">
        <v>0.16789999999999999</v>
      </c>
      <c r="AL21" s="33">
        <v>0.28949999999999998</v>
      </c>
      <c r="AM21" s="33">
        <v>0.315</v>
      </c>
      <c r="AN21" s="33">
        <v>0.2661</v>
      </c>
    </row>
    <row r="22" spans="1:41">
      <c r="A22" s="29" t="s">
        <v>97</v>
      </c>
      <c r="B22" s="37">
        <v>2</v>
      </c>
      <c r="C22" s="29" t="s">
        <v>80</v>
      </c>
      <c r="D22" s="30">
        <v>597946.6</v>
      </c>
      <c r="E22" s="30">
        <v>5852379.4000000004</v>
      </c>
      <c r="F22" s="31">
        <v>25.3</v>
      </c>
      <c r="G22" s="38"/>
      <c r="H22" s="29" t="s">
        <v>112</v>
      </c>
      <c r="I22" s="27" t="s">
        <v>60</v>
      </c>
      <c r="J22" s="31">
        <v>1.07</v>
      </c>
      <c r="K22" s="31">
        <v>2</v>
      </c>
      <c r="L22" s="39">
        <f>F22+J22</f>
        <v>26.37</v>
      </c>
      <c r="M22" s="40">
        <f>F22+K22</f>
        <v>27.3</v>
      </c>
      <c r="N22" s="41">
        <f>(L22+M22)/2</f>
        <v>26.835000000000001</v>
      </c>
      <c r="O22" s="42">
        <f>ROUND(N22,0)</f>
        <v>27</v>
      </c>
      <c r="P22" s="43">
        <v>1</v>
      </c>
      <c r="Q22" s="43">
        <v>3</v>
      </c>
      <c r="R22" s="43">
        <f>P22+F22</f>
        <v>26.3</v>
      </c>
      <c r="S22" s="43">
        <f>F22+Q22</f>
        <v>28.3</v>
      </c>
      <c r="T22" s="43">
        <f>(R22+S22)/2</f>
        <v>27.3</v>
      </c>
      <c r="U22" s="44">
        <f>ROUND(T22,0)</f>
        <v>27</v>
      </c>
      <c r="V22" s="34">
        <v>0.35</v>
      </c>
      <c r="W22" s="31">
        <v>98.87</v>
      </c>
      <c r="X22" s="31">
        <v>0.79</v>
      </c>
      <c r="Y22" s="31">
        <v>0.51</v>
      </c>
      <c r="Z22" s="31">
        <v>0.33</v>
      </c>
      <c r="AA22" s="34">
        <v>0.79</v>
      </c>
      <c r="AB22" s="31">
        <v>0.61</v>
      </c>
      <c r="AC22" s="32">
        <v>1.931</v>
      </c>
      <c r="AD22" s="33">
        <v>0.14760000000000001</v>
      </c>
      <c r="AE22" s="33">
        <v>0.16689999999999999</v>
      </c>
      <c r="AF22" s="33">
        <v>0.26129999999999998</v>
      </c>
      <c r="AG22" s="33">
        <v>0.28499999999999998</v>
      </c>
      <c r="AH22" s="33">
        <v>0.31090000000000001</v>
      </c>
      <c r="AI22" s="32">
        <v>1.9075</v>
      </c>
      <c r="AJ22" s="33">
        <v>0.14940000000000001</v>
      </c>
      <c r="AK22" s="33">
        <v>0.16880000000000001</v>
      </c>
      <c r="AL22" s="33">
        <v>0.28510000000000002</v>
      </c>
      <c r="AM22" s="33">
        <v>0.31069999999999998</v>
      </c>
      <c r="AN22" s="33">
        <v>0.2616</v>
      </c>
      <c r="AO22" s="2"/>
    </row>
    <row r="23" spans="1:41">
      <c r="A23" s="29" t="s">
        <v>97</v>
      </c>
      <c r="B23" s="37">
        <v>2</v>
      </c>
      <c r="C23" s="29" t="s">
        <v>80</v>
      </c>
      <c r="D23" s="30">
        <v>597946.6</v>
      </c>
      <c r="E23" s="30">
        <v>5852379.4000000004</v>
      </c>
      <c r="F23" s="31">
        <v>25.3</v>
      </c>
      <c r="G23" s="40"/>
      <c r="H23" s="29" t="s">
        <v>116</v>
      </c>
      <c r="I23" s="27" t="s">
        <v>63</v>
      </c>
      <c r="J23" s="31">
        <v>3.03</v>
      </c>
      <c r="K23" s="31">
        <v>3.77</v>
      </c>
      <c r="L23" s="39">
        <f>F23+J23</f>
        <v>28.330000000000002</v>
      </c>
      <c r="M23" s="40">
        <f>F23+K23</f>
        <v>29.07</v>
      </c>
      <c r="N23" s="41">
        <f>(L23+M23)/2</f>
        <v>28.700000000000003</v>
      </c>
      <c r="O23" s="42">
        <f>ROUND(N23,0)</f>
        <v>29</v>
      </c>
      <c r="P23" s="43">
        <v>3</v>
      </c>
      <c r="Q23" s="43">
        <f>K23</f>
        <v>3.77</v>
      </c>
      <c r="R23" s="43">
        <f>P23+F23</f>
        <v>28.3</v>
      </c>
      <c r="S23" s="43">
        <f>F23+Q23</f>
        <v>29.07</v>
      </c>
      <c r="T23" s="43">
        <f>(R23+S23)/2</f>
        <v>28.685000000000002</v>
      </c>
      <c r="U23" s="44">
        <f>ROUND(T23,0)</f>
        <v>29</v>
      </c>
      <c r="V23" s="34">
        <v>0.01</v>
      </c>
      <c r="W23" s="31">
        <v>99.51</v>
      </c>
      <c r="X23" s="31">
        <v>0.48</v>
      </c>
      <c r="Y23" s="31">
        <v>0.33</v>
      </c>
      <c r="Z23" s="31">
        <v>0.24</v>
      </c>
      <c r="AA23" s="34">
        <v>0.48</v>
      </c>
      <c r="AB23" s="31">
        <v>0.4</v>
      </c>
      <c r="AC23" s="32">
        <v>1.6519999999999999</v>
      </c>
      <c r="AD23" s="33">
        <v>0.18970000000000001</v>
      </c>
      <c r="AE23" s="33">
        <v>0.20899999999999999</v>
      </c>
      <c r="AF23" s="33">
        <v>0.29420000000000002</v>
      </c>
      <c r="AG23" s="33">
        <v>0.31330000000000002</v>
      </c>
      <c r="AH23" s="33">
        <v>0.33379999999999999</v>
      </c>
      <c r="AI23" s="32">
        <v>1.6422000000000001</v>
      </c>
      <c r="AJ23" s="33">
        <v>0.191</v>
      </c>
      <c r="AK23" s="33">
        <v>0.21029999999999999</v>
      </c>
      <c r="AL23" s="33">
        <v>0.31359999999999999</v>
      </c>
      <c r="AM23" s="33">
        <v>0.33400000000000002</v>
      </c>
      <c r="AN23" s="33">
        <v>0.29449999999999998</v>
      </c>
    </row>
    <row r="24" spans="1:41">
      <c r="A24" s="29" t="s">
        <v>97</v>
      </c>
      <c r="B24" s="10">
        <v>2</v>
      </c>
      <c r="C24" s="29" t="s">
        <v>80</v>
      </c>
      <c r="D24" s="30">
        <v>597946.6</v>
      </c>
      <c r="E24" s="30">
        <v>5852379.4000000004</v>
      </c>
      <c r="F24" s="31">
        <v>25.3</v>
      </c>
      <c r="H24" s="29" t="s">
        <v>117</v>
      </c>
      <c r="I24" s="27" t="s">
        <v>61</v>
      </c>
      <c r="J24" s="31">
        <v>4.03</v>
      </c>
      <c r="K24" s="31">
        <v>4.2699999999999996</v>
      </c>
      <c r="L24" s="17">
        <f>F24+J24</f>
        <v>29.330000000000002</v>
      </c>
      <c r="M24" s="16">
        <f>F24+K24</f>
        <v>29.57</v>
      </c>
      <c r="N24" s="12">
        <f>(L24+M24)/2</f>
        <v>29.450000000000003</v>
      </c>
      <c r="O24" s="11">
        <f>ROUND(N24,0)</f>
        <v>29</v>
      </c>
      <c r="P24" s="13">
        <v>3.77</v>
      </c>
      <c r="Q24" s="13">
        <f>K24</f>
        <v>4.2699999999999996</v>
      </c>
      <c r="R24" s="13">
        <f>P24+F24</f>
        <v>29.07</v>
      </c>
      <c r="S24" s="13">
        <f>F24+Q24</f>
        <v>29.57</v>
      </c>
      <c r="T24" s="13">
        <f>(R24+S24)/2</f>
        <v>29.32</v>
      </c>
      <c r="U24" s="14">
        <f>ROUND(T24,0)</f>
        <v>29</v>
      </c>
      <c r="V24" s="34">
        <v>0.03</v>
      </c>
      <c r="W24" s="31">
        <v>99.65</v>
      </c>
      <c r="X24" s="31">
        <v>0.33</v>
      </c>
      <c r="Y24" s="31">
        <v>0.28999999999999998</v>
      </c>
      <c r="Z24" s="31">
        <v>0.17</v>
      </c>
      <c r="AA24" s="34">
        <v>0.33</v>
      </c>
      <c r="AB24" s="31">
        <v>0.21</v>
      </c>
      <c r="AC24" s="32">
        <v>1.8582000000000001</v>
      </c>
      <c r="AD24" s="33">
        <v>0.28039999999999998</v>
      </c>
      <c r="AE24" s="33">
        <v>0.33610000000000001</v>
      </c>
      <c r="AF24" s="33">
        <v>0.4748</v>
      </c>
      <c r="AG24" s="33">
        <v>0.52100000000000002</v>
      </c>
      <c r="AH24" s="33">
        <v>0.57689999999999997</v>
      </c>
      <c r="AI24" s="32">
        <v>1.8469</v>
      </c>
      <c r="AJ24" s="33">
        <v>0.2823</v>
      </c>
      <c r="AK24" s="33">
        <v>0.33829999999999999</v>
      </c>
      <c r="AL24" s="33">
        <v>0.52139999999999997</v>
      </c>
      <c r="AM24" s="33">
        <v>0.57709999999999995</v>
      </c>
      <c r="AN24" s="33">
        <v>0.47520000000000001</v>
      </c>
    </row>
    <row r="25" spans="1:41">
      <c r="A25" s="29" t="s">
        <v>97</v>
      </c>
      <c r="B25" s="10">
        <v>2</v>
      </c>
      <c r="C25" s="29" t="s">
        <v>80</v>
      </c>
      <c r="D25" s="30">
        <v>597946.6</v>
      </c>
      <c r="E25" s="30">
        <v>5852379.4000000004</v>
      </c>
      <c r="F25" s="31">
        <v>25.3</v>
      </c>
      <c r="G25" s="16"/>
      <c r="H25" s="29" t="s">
        <v>118</v>
      </c>
      <c r="I25" s="27" t="s">
        <v>62</v>
      </c>
      <c r="J25" s="31">
        <v>5.09</v>
      </c>
      <c r="K25" s="31">
        <v>5.8</v>
      </c>
      <c r="L25" s="17">
        <f>F25+J25</f>
        <v>30.39</v>
      </c>
      <c r="M25" s="16">
        <f>F25+K25</f>
        <v>31.1</v>
      </c>
      <c r="N25" s="12">
        <f>(L25+M25)/2</f>
        <v>30.745000000000001</v>
      </c>
      <c r="O25" s="11">
        <f>ROUND(N25,0)</f>
        <v>31</v>
      </c>
      <c r="P25" s="13">
        <v>4.2699999999999996</v>
      </c>
      <c r="Q25" s="13">
        <f>K25</f>
        <v>5.8</v>
      </c>
      <c r="R25" s="13">
        <f>P25+F25</f>
        <v>29.57</v>
      </c>
      <c r="S25" s="13">
        <f>F25+Q25</f>
        <v>31.1</v>
      </c>
      <c r="T25" s="13">
        <f>(R25+S25)/2</f>
        <v>30.335000000000001</v>
      </c>
      <c r="U25" s="14">
        <f>ROUND(T25,0)</f>
        <v>30</v>
      </c>
      <c r="V25" s="34">
        <v>0.04</v>
      </c>
      <c r="W25" s="31">
        <v>99.18</v>
      </c>
      <c r="X25" s="31">
        <v>0.77</v>
      </c>
      <c r="Y25" s="31">
        <v>0.63</v>
      </c>
      <c r="Z25" s="31">
        <v>0.37</v>
      </c>
      <c r="AA25" s="34">
        <v>0.77</v>
      </c>
      <c r="AB25" s="31">
        <v>0.51</v>
      </c>
      <c r="AC25" s="32">
        <v>1.8688</v>
      </c>
      <c r="AD25" s="33">
        <v>0.18210000000000001</v>
      </c>
      <c r="AE25" s="33">
        <v>0.2092</v>
      </c>
      <c r="AF25" s="33">
        <v>0.31419999999999998</v>
      </c>
      <c r="AG25" s="33">
        <v>0.34029999999999999</v>
      </c>
      <c r="AH25" s="33">
        <v>0.37480000000000002</v>
      </c>
      <c r="AI25" s="32">
        <v>1.8479000000000001</v>
      </c>
      <c r="AJ25" s="33">
        <v>0.18440000000000001</v>
      </c>
      <c r="AK25" s="33">
        <v>0.2117</v>
      </c>
      <c r="AL25" s="33">
        <v>0.34079999999999999</v>
      </c>
      <c r="AM25" s="33">
        <v>0.37540000000000001</v>
      </c>
      <c r="AN25" s="33">
        <v>0.31480000000000002</v>
      </c>
    </row>
    <row r="26" spans="1:41">
      <c r="A26" s="29" t="s">
        <v>98</v>
      </c>
      <c r="B26" s="10">
        <v>2</v>
      </c>
      <c r="C26" s="29" t="s">
        <v>81</v>
      </c>
      <c r="D26" s="30">
        <v>597676.69999999995</v>
      </c>
      <c r="E26" s="30">
        <v>5851816.5999999996</v>
      </c>
      <c r="F26" s="31">
        <v>23.6</v>
      </c>
      <c r="H26" s="29" t="s">
        <v>111</v>
      </c>
      <c r="I26" s="27" t="s">
        <v>65</v>
      </c>
      <c r="J26" s="31">
        <v>0.06</v>
      </c>
      <c r="K26" s="31">
        <v>0.52</v>
      </c>
      <c r="L26" s="17">
        <f>F26+J26</f>
        <v>23.66</v>
      </c>
      <c r="M26" s="16">
        <f>F26+K26</f>
        <v>24.12</v>
      </c>
      <c r="N26" s="12">
        <f>(L26+M26)/2</f>
        <v>23.89</v>
      </c>
      <c r="O26" s="11">
        <f>ROUND(N26,0)</f>
        <v>24</v>
      </c>
      <c r="P26" s="13">
        <v>0</v>
      </c>
      <c r="Q26" s="13">
        <f>K26</f>
        <v>0.52</v>
      </c>
      <c r="R26" s="13">
        <f>P26+F26</f>
        <v>23.6</v>
      </c>
      <c r="S26" s="13">
        <f>F26+Q26</f>
        <v>24.12</v>
      </c>
      <c r="T26" s="13">
        <f>(R26+S26)/2</f>
        <v>23.86</v>
      </c>
      <c r="U26" s="14">
        <f>ROUND(T26,0)</f>
        <v>24</v>
      </c>
      <c r="V26" s="34">
        <v>0.56000000000000005</v>
      </c>
      <c r="W26" s="31">
        <v>98.54</v>
      </c>
      <c r="X26" s="31">
        <v>0.9</v>
      </c>
      <c r="Y26" s="31">
        <v>0.65</v>
      </c>
      <c r="Z26" s="31">
        <v>0.5</v>
      </c>
      <c r="AA26" s="34">
        <v>0.9</v>
      </c>
      <c r="AB26" s="31">
        <v>0.75</v>
      </c>
      <c r="AC26" s="32">
        <v>1.4789000000000001</v>
      </c>
      <c r="AD26" s="33">
        <v>0.1459</v>
      </c>
      <c r="AE26" s="33">
        <v>0.16220000000000001</v>
      </c>
      <c r="AF26" s="33">
        <v>0.20619999999999999</v>
      </c>
      <c r="AG26" s="33">
        <v>0.21579999999999999</v>
      </c>
      <c r="AH26" s="33">
        <v>0.2258</v>
      </c>
      <c r="AI26" s="32">
        <v>1.4595</v>
      </c>
      <c r="AJ26" s="33">
        <v>0.14779999999999999</v>
      </c>
      <c r="AK26" s="33">
        <v>0.1641</v>
      </c>
      <c r="AL26" s="33">
        <v>0.2157</v>
      </c>
      <c r="AM26" s="33">
        <v>0.22559999999999999</v>
      </c>
      <c r="AN26" s="33">
        <v>0.20630000000000001</v>
      </c>
    </row>
    <row r="27" spans="1:41">
      <c r="A27" s="29" t="s">
        <v>98</v>
      </c>
      <c r="B27" s="10">
        <v>2</v>
      </c>
      <c r="C27" s="29" t="s">
        <v>81</v>
      </c>
      <c r="D27" s="30">
        <v>597676.69999999995</v>
      </c>
      <c r="E27" s="30">
        <v>5851816.5999999996</v>
      </c>
      <c r="F27" s="31">
        <v>23.6</v>
      </c>
      <c r="G27" s="16"/>
      <c r="H27" s="29" t="s">
        <v>111</v>
      </c>
      <c r="I27" s="27" t="s">
        <v>58</v>
      </c>
      <c r="J27" s="31">
        <v>0.52</v>
      </c>
      <c r="K27" s="31">
        <v>1</v>
      </c>
      <c r="L27" s="17">
        <f>F27+J27</f>
        <v>24.12</v>
      </c>
      <c r="M27" s="16">
        <f>F27+K27</f>
        <v>24.6</v>
      </c>
      <c r="N27" s="12">
        <f>(L27+M27)/2</f>
        <v>24.36</v>
      </c>
      <c r="O27" s="11">
        <f>ROUND(N27,0)</f>
        <v>24</v>
      </c>
      <c r="P27" s="13">
        <f>J27</f>
        <v>0.52</v>
      </c>
      <c r="Q27" s="13">
        <f>K27</f>
        <v>1</v>
      </c>
      <c r="R27" s="13">
        <f>P27+F27</f>
        <v>24.12</v>
      </c>
      <c r="S27" s="13">
        <f>F27+Q27</f>
        <v>24.6</v>
      </c>
      <c r="T27" s="13">
        <f>(R27+S27)/2</f>
        <v>24.36</v>
      </c>
      <c r="U27" s="14">
        <f>ROUND(T27,0)</f>
        <v>24</v>
      </c>
      <c r="V27" s="34">
        <v>1.18</v>
      </c>
      <c r="W27" s="31">
        <v>96.84</v>
      </c>
      <c r="X27" s="31">
        <v>1.98</v>
      </c>
      <c r="Y27" s="31">
        <v>1.67</v>
      </c>
      <c r="Z27" s="31">
        <v>1.17</v>
      </c>
      <c r="AA27" s="34">
        <v>1.98</v>
      </c>
      <c r="AB27" s="31">
        <v>1.48</v>
      </c>
      <c r="AC27" s="32">
        <v>1.5008999999999999</v>
      </c>
      <c r="AD27" s="33">
        <v>0.14319999999999999</v>
      </c>
      <c r="AE27" s="33">
        <v>0.1585</v>
      </c>
      <c r="AF27" s="33">
        <v>0.20530000000000001</v>
      </c>
      <c r="AG27" s="33">
        <v>0.215</v>
      </c>
      <c r="AH27" s="33">
        <v>0.22500000000000001</v>
      </c>
      <c r="AI27" s="32">
        <v>1.4636</v>
      </c>
      <c r="AJ27" s="33">
        <v>0.14680000000000001</v>
      </c>
      <c r="AK27" s="33">
        <v>0.16200000000000001</v>
      </c>
      <c r="AL27" s="33">
        <v>0.21479999999999999</v>
      </c>
      <c r="AM27" s="33">
        <v>0.22459999999999999</v>
      </c>
      <c r="AN27" s="33">
        <v>0.20549999999999999</v>
      </c>
    </row>
    <row r="28" spans="1:41">
      <c r="A28" s="29" t="s">
        <v>98</v>
      </c>
      <c r="B28" s="10">
        <v>2</v>
      </c>
      <c r="C28" s="29" t="s">
        <v>81</v>
      </c>
      <c r="D28" s="30">
        <v>597676.69999999995</v>
      </c>
      <c r="E28" s="30">
        <v>5851816.5999999996</v>
      </c>
      <c r="F28" s="31">
        <v>23.6</v>
      </c>
      <c r="G28" s="16"/>
      <c r="H28" s="29" t="s">
        <v>112</v>
      </c>
      <c r="I28" s="27" t="s">
        <v>59</v>
      </c>
      <c r="J28" s="31">
        <v>1.05</v>
      </c>
      <c r="K28" s="31">
        <v>2</v>
      </c>
      <c r="L28" s="17">
        <f>F28+J28</f>
        <v>24.650000000000002</v>
      </c>
      <c r="M28" s="16">
        <f>F28+K28</f>
        <v>25.6</v>
      </c>
      <c r="N28" s="12">
        <f>(L28+M28)/2</f>
        <v>25.125</v>
      </c>
      <c r="O28" s="11">
        <f>ROUND(N28,0)</f>
        <v>25</v>
      </c>
      <c r="P28" s="13">
        <v>1</v>
      </c>
      <c r="Q28" s="13">
        <f>K28</f>
        <v>2</v>
      </c>
      <c r="R28" s="13">
        <f>P28+F28</f>
        <v>24.6</v>
      </c>
      <c r="S28" s="13">
        <f>F28+Q28</f>
        <v>25.6</v>
      </c>
      <c r="T28" s="13">
        <f>(R28+S28)/2</f>
        <v>25.1</v>
      </c>
      <c r="U28" s="14">
        <f>ROUND(T28,0)</f>
        <v>25</v>
      </c>
      <c r="V28" s="34">
        <v>0.28000000000000003</v>
      </c>
      <c r="W28" s="31">
        <v>98.54</v>
      </c>
      <c r="X28" s="31">
        <v>1.17</v>
      </c>
      <c r="Y28" s="31">
        <v>0.96</v>
      </c>
      <c r="Z28" s="31">
        <v>0.67</v>
      </c>
      <c r="AA28" s="34">
        <v>1.17</v>
      </c>
      <c r="AB28" s="31">
        <v>0.88</v>
      </c>
      <c r="AC28" s="32">
        <v>1.5871</v>
      </c>
      <c r="AD28" s="33">
        <v>0.14230000000000001</v>
      </c>
      <c r="AE28" s="33">
        <v>0.15559999999999999</v>
      </c>
      <c r="AF28" s="33">
        <v>0.21229999999999999</v>
      </c>
      <c r="AG28" s="33">
        <v>0.2258</v>
      </c>
      <c r="AH28" s="33">
        <v>0.24010000000000001</v>
      </c>
      <c r="AI28" s="32">
        <v>1.5673999999999999</v>
      </c>
      <c r="AJ28" s="33">
        <v>0.14419999999999999</v>
      </c>
      <c r="AK28" s="33">
        <v>0.1575</v>
      </c>
      <c r="AL28" s="33">
        <v>0.2261</v>
      </c>
      <c r="AM28" s="33">
        <v>0.2402</v>
      </c>
      <c r="AN28" s="33">
        <v>0.2127</v>
      </c>
    </row>
    <row r="29" spans="1:41">
      <c r="A29" s="29" t="s">
        <v>98</v>
      </c>
      <c r="B29" s="10">
        <v>2</v>
      </c>
      <c r="C29" s="29" t="s">
        <v>81</v>
      </c>
      <c r="D29" s="30">
        <v>597676.69999999995</v>
      </c>
      <c r="E29" s="30">
        <v>5851816.5999999996</v>
      </c>
      <c r="F29" s="31">
        <v>23.6</v>
      </c>
      <c r="H29" s="29" t="s">
        <v>113</v>
      </c>
      <c r="I29" s="27" t="s">
        <v>60</v>
      </c>
      <c r="J29" s="31">
        <v>2.16</v>
      </c>
      <c r="K29" s="31">
        <v>3</v>
      </c>
      <c r="L29" s="17">
        <f>F29+J29</f>
        <v>25.76</v>
      </c>
      <c r="M29" s="16">
        <f>F29+K29</f>
        <v>26.6</v>
      </c>
      <c r="N29" s="12">
        <f>(L29+M29)/2</f>
        <v>26.18</v>
      </c>
      <c r="O29" s="11">
        <f>ROUND(N29,0)</f>
        <v>26</v>
      </c>
      <c r="P29" s="13">
        <v>2</v>
      </c>
      <c r="Q29" s="13">
        <f>K29</f>
        <v>3</v>
      </c>
      <c r="R29" s="13">
        <f>P29+F29</f>
        <v>25.6</v>
      </c>
      <c r="S29" s="13">
        <f>F29+Q29</f>
        <v>26.6</v>
      </c>
      <c r="T29" s="13">
        <f>(R29+S29)/2</f>
        <v>26.1</v>
      </c>
      <c r="U29" s="14">
        <f>ROUND(T29,0)</f>
        <v>26</v>
      </c>
      <c r="V29" s="34">
        <v>0.04</v>
      </c>
      <c r="W29" s="31">
        <v>98.58</v>
      </c>
      <c r="X29" s="31">
        <v>1.39</v>
      </c>
      <c r="Y29" s="31">
        <v>1.07</v>
      </c>
      <c r="Z29" s="31">
        <v>0.67</v>
      </c>
      <c r="AA29" s="34">
        <v>1.39</v>
      </c>
      <c r="AB29" s="31">
        <v>0.99</v>
      </c>
      <c r="AC29" s="32">
        <v>1.8281000000000001</v>
      </c>
      <c r="AD29" s="33">
        <v>0.1363</v>
      </c>
      <c r="AE29" s="33">
        <v>0.15010000000000001</v>
      </c>
      <c r="AF29" s="33">
        <v>0.22739999999999999</v>
      </c>
      <c r="AG29" s="33">
        <v>0.2492</v>
      </c>
      <c r="AH29" s="33">
        <v>0.28060000000000002</v>
      </c>
      <c r="AI29" s="32">
        <v>1.8032999999999999</v>
      </c>
      <c r="AJ29" s="33">
        <v>0.13869999999999999</v>
      </c>
      <c r="AK29" s="33">
        <v>0.1525</v>
      </c>
      <c r="AL29" s="33">
        <v>0.25</v>
      </c>
      <c r="AM29" s="33">
        <v>0.28149999999999997</v>
      </c>
      <c r="AN29" s="33">
        <v>0.22839999999999999</v>
      </c>
      <c r="AO29" s="2"/>
    </row>
    <row r="30" spans="1:41">
      <c r="A30" s="29" t="s">
        <v>98</v>
      </c>
      <c r="B30" s="10">
        <v>2</v>
      </c>
      <c r="C30" s="29" t="s">
        <v>81</v>
      </c>
      <c r="D30" s="30">
        <v>597676.69999999995</v>
      </c>
      <c r="E30" s="30">
        <v>5851816.5999999996</v>
      </c>
      <c r="F30" s="31">
        <v>23.6</v>
      </c>
      <c r="H30" s="29" t="s">
        <v>116</v>
      </c>
      <c r="I30" s="27" t="s">
        <v>63</v>
      </c>
      <c r="J30" s="31">
        <v>3.32</v>
      </c>
      <c r="K30" s="31">
        <v>4</v>
      </c>
      <c r="L30" s="17">
        <f>F30+J30</f>
        <v>26.92</v>
      </c>
      <c r="M30" s="16">
        <f>F30+K30</f>
        <v>27.6</v>
      </c>
      <c r="N30" s="12">
        <f>(L30+M30)/2</f>
        <v>27.26</v>
      </c>
      <c r="O30" s="11">
        <f>ROUND(N30,0)</f>
        <v>27</v>
      </c>
      <c r="P30" s="13">
        <v>3</v>
      </c>
      <c r="Q30" s="13">
        <f>K30</f>
        <v>4</v>
      </c>
      <c r="R30" s="13">
        <f>P30+F30</f>
        <v>26.6</v>
      </c>
      <c r="S30" s="13">
        <f>F30+Q30</f>
        <v>27.6</v>
      </c>
      <c r="T30" s="13">
        <f>(R30+S30)/2</f>
        <v>27.1</v>
      </c>
      <c r="U30" s="14">
        <f>ROUND(T30,0)</f>
        <v>27</v>
      </c>
      <c r="V30" s="34">
        <v>0.03</v>
      </c>
      <c r="W30" s="31">
        <v>98.54</v>
      </c>
      <c r="X30" s="31">
        <v>1.44</v>
      </c>
      <c r="Y30" s="31">
        <v>1.23</v>
      </c>
      <c r="Z30" s="31">
        <v>0.82</v>
      </c>
      <c r="AA30" s="34">
        <v>1.44</v>
      </c>
      <c r="AB30" s="31">
        <v>1.02</v>
      </c>
      <c r="AC30" s="32">
        <v>1.8306</v>
      </c>
      <c r="AD30" s="33">
        <v>0.13600000000000001</v>
      </c>
      <c r="AE30" s="33">
        <v>0.14949999999999999</v>
      </c>
      <c r="AF30" s="33">
        <v>0.2271</v>
      </c>
      <c r="AG30" s="33">
        <v>0.249</v>
      </c>
      <c r="AH30" s="33">
        <v>0.27910000000000001</v>
      </c>
      <c r="AI30" s="32">
        <v>1.8055000000000001</v>
      </c>
      <c r="AJ30" s="33">
        <v>0.1384</v>
      </c>
      <c r="AK30" s="33">
        <v>0.152</v>
      </c>
      <c r="AL30" s="33">
        <v>0.24990000000000001</v>
      </c>
      <c r="AM30" s="33">
        <v>0.28000000000000003</v>
      </c>
      <c r="AN30" s="33">
        <v>0.2281</v>
      </c>
    </row>
    <row r="31" spans="1:41">
      <c r="A31" s="29" t="s">
        <v>98</v>
      </c>
      <c r="B31" s="10">
        <v>2</v>
      </c>
      <c r="C31" s="29" t="s">
        <v>81</v>
      </c>
      <c r="D31" s="30">
        <v>597676.69999999995</v>
      </c>
      <c r="E31" s="30">
        <v>5851816.5999999996</v>
      </c>
      <c r="F31" s="31">
        <v>23.6</v>
      </c>
      <c r="H31" s="29" t="s">
        <v>114</v>
      </c>
      <c r="I31" s="27" t="s">
        <v>61</v>
      </c>
      <c r="J31" s="31">
        <v>4.03</v>
      </c>
      <c r="K31" s="31">
        <v>5</v>
      </c>
      <c r="L31" s="17">
        <f>F31+J31</f>
        <v>27.630000000000003</v>
      </c>
      <c r="M31" s="16">
        <f>F31+K31</f>
        <v>28.6</v>
      </c>
      <c r="N31" s="12">
        <f>(L31+M31)/2</f>
        <v>28.115000000000002</v>
      </c>
      <c r="O31" s="11">
        <f>ROUND(N31,0)</f>
        <v>28</v>
      </c>
      <c r="P31" s="13">
        <v>4</v>
      </c>
      <c r="Q31" s="13">
        <v>5.18</v>
      </c>
      <c r="R31" s="13">
        <f>P31+F31</f>
        <v>27.6</v>
      </c>
      <c r="S31" s="13">
        <f>F31+Q31</f>
        <v>28.78</v>
      </c>
      <c r="T31" s="13">
        <f>(R31+S31)/2</f>
        <v>28.19</v>
      </c>
      <c r="U31" s="14">
        <f>ROUND(T31,0)</f>
        <v>28</v>
      </c>
      <c r="V31" s="34">
        <v>0</v>
      </c>
      <c r="W31" s="31">
        <v>99.04</v>
      </c>
      <c r="X31" s="31">
        <v>0.96</v>
      </c>
      <c r="Y31" s="31">
        <v>0.8</v>
      </c>
      <c r="Z31" s="31">
        <v>0.62</v>
      </c>
      <c r="AA31" s="34">
        <v>0.96</v>
      </c>
      <c r="AB31" s="31">
        <v>0.79</v>
      </c>
      <c r="AC31" s="32">
        <v>1.6887000000000001</v>
      </c>
      <c r="AD31" s="33">
        <v>0.1431</v>
      </c>
      <c r="AE31" s="33">
        <v>0.15989999999999999</v>
      </c>
      <c r="AF31" s="33">
        <v>0.22439999999999999</v>
      </c>
      <c r="AG31" s="33">
        <v>0.2417</v>
      </c>
      <c r="AH31" s="33">
        <v>0.26640000000000003</v>
      </c>
      <c r="AI31" s="32">
        <v>1.6664000000000001</v>
      </c>
      <c r="AJ31" s="33">
        <v>0.1454</v>
      </c>
      <c r="AK31" s="33">
        <v>0.16220000000000001</v>
      </c>
      <c r="AL31" s="33">
        <v>0.2422</v>
      </c>
      <c r="AM31" s="33">
        <v>0.26719999999999999</v>
      </c>
      <c r="AN31" s="33">
        <v>0.22500000000000001</v>
      </c>
    </row>
    <row r="32" spans="1:41">
      <c r="A32" s="29" t="s">
        <v>99</v>
      </c>
      <c r="B32" s="10">
        <v>2</v>
      </c>
      <c r="C32" s="29" t="s">
        <v>82</v>
      </c>
      <c r="D32" s="30">
        <v>597966.80000000005</v>
      </c>
      <c r="E32" s="30">
        <v>5851811.2000000002</v>
      </c>
      <c r="F32" s="31">
        <v>24.8</v>
      </c>
      <c r="H32" s="29" t="s">
        <v>111</v>
      </c>
      <c r="I32" s="27" t="s">
        <v>58</v>
      </c>
      <c r="J32" s="31">
        <v>0.55000000000000004</v>
      </c>
      <c r="K32" s="31">
        <v>1</v>
      </c>
      <c r="L32" s="17">
        <f>F32+J32</f>
        <v>25.35</v>
      </c>
      <c r="M32" s="16">
        <f>F32+K32</f>
        <v>25.8</v>
      </c>
      <c r="N32" s="12">
        <f>(L32+M32)/2</f>
        <v>25.575000000000003</v>
      </c>
      <c r="O32" s="11">
        <f>ROUND(N32,0)</f>
        <v>26</v>
      </c>
      <c r="P32" s="13">
        <v>0</v>
      </c>
      <c r="Q32" s="13">
        <f>K32</f>
        <v>1</v>
      </c>
      <c r="R32" s="13">
        <f>P32+F32</f>
        <v>24.8</v>
      </c>
      <c r="S32" s="13">
        <f>F32+Q32</f>
        <v>25.8</v>
      </c>
      <c r="T32" s="13">
        <f>(R32+S32)/2</f>
        <v>25.3</v>
      </c>
      <c r="U32" s="14">
        <f>ROUND(T32,0)</f>
        <v>25</v>
      </c>
      <c r="V32" s="34">
        <v>0.03</v>
      </c>
      <c r="W32" s="31">
        <v>98.56</v>
      </c>
      <c r="X32" s="31">
        <v>1.41</v>
      </c>
      <c r="Y32" s="31">
        <v>1.17</v>
      </c>
      <c r="Z32" s="31">
        <v>0.55000000000000004</v>
      </c>
      <c r="AA32" s="34">
        <v>1.41</v>
      </c>
      <c r="AB32" s="31">
        <v>0.79</v>
      </c>
      <c r="AC32" s="32">
        <v>1.6371</v>
      </c>
      <c r="AD32" s="33">
        <v>0.1356</v>
      </c>
      <c r="AE32" s="33">
        <v>0.1452</v>
      </c>
      <c r="AF32" s="33">
        <v>0.20669999999999999</v>
      </c>
      <c r="AG32" s="33">
        <v>0.222</v>
      </c>
      <c r="AH32" s="33">
        <v>0.2384</v>
      </c>
      <c r="AI32" s="32">
        <v>1.6247</v>
      </c>
      <c r="AJ32" s="33">
        <v>0.13689999999999999</v>
      </c>
      <c r="AK32" s="33">
        <v>0.14660000000000001</v>
      </c>
      <c r="AL32" s="33">
        <v>0.2225</v>
      </c>
      <c r="AM32" s="33">
        <v>0.23880000000000001</v>
      </c>
      <c r="AN32" s="33">
        <v>0.20730000000000001</v>
      </c>
    </row>
    <row r="33" spans="1:42">
      <c r="A33" s="29" t="s">
        <v>99</v>
      </c>
      <c r="B33" s="10">
        <v>2</v>
      </c>
      <c r="C33" s="29" t="s">
        <v>82</v>
      </c>
      <c r="D33" s="30">
        <v>597966.80000000005</v>
      </c>
      <c r="E33" s="30">
        <v>5851811.2000000002</v>
      </c>
      <c r="F33" s="31">
        <v>24.8</v>
      </c>
      <c r="H33" s="29" t="s">
        <v>112</v>
      </c>
      <c r="I33" s="27" t="s">
        <v>59</v>
      </c>
      <c r="J33" s="31">
        <v>1.1399999999999999</v>
      </c>
      <c r="K33" s="31">
        <v>2</v>
      </c>
      <c r="L33" s="17">
        <f>F33+J33</f>
        <v>25.94</v>
      </c>
      <c r="M33" s="16">
        <f>F33+K33</f>
        <v>26.8</v>
      </c>
      <c r="N33" s="12">
        <f>(L33+M33)/2</f>
        <v>26.37</v>
      </c>
      <c r="O33" s="11">
        <f>ROUND(N33,0)</f>
        <v>26</v>
      </c>
      <c r="P33" s="13">
        <v>1</v>
      </c>
      <c r="Q33" s="13">
        <f>K33</f>
        <v>2</v>
      </c>
      <c r="R33" s="13">
        <f>P33+F33</f>
        <v>25.8</v>
      </c>
      <c r="S33" s="13">
        <f>F33+Q33</f>
        <v>26.8</v>
      </c>
      <c r="T33" s="13">
        <f>(R33+S33)/2</f>
        <v>26.3</v>
      </c>
      <c r="U33" s="14">
        <f>ROUND(T33,0)</f>
        <v>26</v>
      </c>
      <c r="V33" s="34">
        <v>0.03</v>
      </c>
      <c r="W33" s="31">
        <v>98.9</v>
      </c>
      <c r="X33" s="31">
        <v>1.07</v>
      </c>
      <c r="Y33" s="31">
        <v>0.75</v>
      </c>
      <c r="Z33" s="31">
        <v>0.46</v>
      </c>
      <c r="AA33" s="34">
        <v>1.07</v>
      </c>
      <c r="AB33" s="31">
        <v>0.78</v>
      </c>
      <c r="AC33" s="32">
        <v>1.6535</v>
      </c>
      <c r="AD33" s="33">
        <v>0.1366</v>
      </c>
      <c r="AE33" s="33">
        <v>0.14699999999999999</v>
      </c>
      <c r="AF33" s="33">
        <v>0.21</v>
      </c>
      <c r="AG33" s="33">
        <v>0.22589999999999999</v>
      </c>
      <c r="AH33" s="33">
        <v>0.24299999999999999</v>
      </c>
      <c r="AI33" s="32">
        <v>1.6402000000000001</v>
      </c>
      <c r="AJ33" s="33">
        <v>0.13800000000000001</v>
      </c>
      <c r="AK33" s="33">
        <v>0.1484</v>
      </c>
      <c r="AL33" s="33">
        <v>0.22639999999999999</v>
      </c>
      <c r="AM33" s="33">
        <v>0.24340000000000001</v>
      </c>
      <c r="AN33" s="33">
        <v>0.21060000000000001</v>
      </c>
    </row>
    <row r="34" spans="1:42">
      <c r="A34" s="29" t="s">
        <v>99</v>
      </c>
      <c r="B34" s="10">
        <v>2</v>
      </c>
      <c r="C34" s="29" t="s">
        <v>82</v>
      </c>
      <c r="D34" s="30">
        <v>597966.80000000005</v>
      </c>
      <c r="E34" s="30">
        <v>5851811.2000000002</v>
      </c>
      <c r="F34" s="31">
        <v>24.8</v>
      </c>
      <c r="H34" s="29" t="s">
        <v>113</v>
      </c>
      <c r="I34" s="27" t="s">
        <v>60</v>
      </c>
      <c r="J34" s="31">
        <v>2.0299999999999998</v>
      </c>
      <c r="K34" s="31">
        <v>3</v>
      </c>
      <c r="L34" s="17">
        <f>F34+J34</f>
        <v>26.830000000000002</v>
      </c>
      <c r="M34" s="16">
        <f>F34+K34</f>
        <v>27.8</v>
      </c>
      <c r="N34" s="12">
        <f>(L34+M34)/2</f>
        <v>27.315000000000001</v>
      </c>
      <c r="O34" s="11">
        <f>ROUND(N34,0)</f>
        <v>27</v>
      </c>
      <c r="P34" s="13">
        <v>2</v>
      </c>
      <c r="Q34" s="13">
        <f>K34</f>
        <v>3</v>
      </c>
      <c r="R34" s="13">
        <f>P34+F34</f>
        <v>26.8</v>
      </c>
      <c r="S34" s="13">
        <f>F34+Q34</f>
        <v>27.8</v>
      </c>
      <c r="T34" s="13">
        <f>(R34+S34)/2</f>
        <v>27.3</v>
      </c>
      <c r="U34" s="14">
        <f>ROUND(T34,0)</f>
        <v>27</v>
      </c>
      <c r="V34" s="34">
        <v>0.35</v>
      </c>
      <c r="W34" s="31">
        <v>98.72</v>
      </c>
      <c r="X34" s="31">
        <v>0.94</v>
      </c>
      <c r="Y34" s="31">
        <v>0.69</v>
      </c>
      <c r="Z34" s="31">
        <v>0.44</v>
      </c>
      <c r="AA34" s="34">
        <v>0.94</v>
      </c>
      <c r="AB34" s="31">
        <v>0.68</v>
      </c>
      <c r="AC34" s="32">
        <v>1.6897</v>
      </c>
      <c r="AD34" s="33">
        <v>0.13969999999999999</v>
      </c>
      <c r="AE34" s="33">
        <v>0.15190000000000001</v>
      </c>
      <c r="AF34" s="33">
        <v>0.21840000000000001</v>
      </c>
      <c r="AG34" s="33">
        <v>0.2361</v>
      </c>
      <c r="AH34" s="33">
        <v>0.2586</v>
      </c>
      <c r="AI34" s="32">
        <v>1.6741999999999999</v>
      </c>
      <c r="AJ34" s="33">
        <v>0.1411</v>
      </c>
      <c r="AK34" s="33">
        <v>0.15329999999999999</v>
      </c>
      <c r="AL34" s="33">
        <v>0.23619999999999999</v>
      </c>
      <c r="AM34" s="33">
        <v>0.25850000000000001</v>
      </c>
      <c r="AN34" s="33">
        <v>0.21870000000000001</v>
      </c>
    </row>
    <row r="35" spans="1:42">
      <c r="A35" s="29" t="s">
        <v>99</v>
      </c>
      <c r="B35" s="10">
        <v>2</v>
      </c>
      <c r="C35" s="29" t="s">
        <v>82</v>
      </c>
      <c r="D35" s="30">
        <v>597966.80000000005</v>
      </c>
      <c r="E35" s="30">
        <v>5851811.2000000002</v>
      </c>
      <c r="F35" s="31">
        <v>24.8</v>
      </c>
      <c r="G35" s="16"/>
      <c r="H35" s="29" t="s">
        <v>119</v>
      </c>
      <c r="I35" s="27" t="s">
        <v>63</v>
      </c>
      <c r="J35" s="31">
        <v>3.06</v>
      </c>
      <c r="K35" s="31">
        <v>4</v>
      </c>
      <c r="L35" s="17">
        <f>F35+J35</f>
        <v>27.86</v>
      </c>
      <c r="M35" s="16">
        <f>F35+K35</f>
        <v>28.8</v>
      </c>
      <c r="N35" s="12">
        <f>(L35+M35)/2</f>
        <v>28.33</v>
      </c>
      <c r="O35" s="11">
        <f>ROUND(N35,0)</f>
        <v>28</v>
      </c>
      <c r="P35" s="13">
        <v>3</v>
      </c>
      <c r="Q35" s="13">
        <f>K35</f>
        <v>4</v>
      </c>
      <c r="R35" s="13">
        <f>P35+F35</f>
        <v>27.8</v>
      </c>
      <c r="S35" s="13">
        <f>F35+Q35</f>
        <v>28.8</v>
      </c>
      <c r="T35" s="13">
        <f>(R35+S35)/2</f>
        <v>28.3</v>
      </c>
      <c r="U35" s="14">
        <f>ROUND(T35,0)</f>
        <v>28</v>
      </c>
      <c r="V35" s="34">
        <v>2.79</v>
      </c>
      <c r="W35" s="31">
        <v>96.48</v>
      </c>
      <c r="X35" s="31">
        <v>0.73</v>
      </c>
      <c r="Y35" s="31">
        <v>0.61</v>
      </c>
      <c r="Z35" s="31">
        <v>0.52</v>
      </c>
      <c r="AA35" s="34">
        <v>0.73</v>
      </c>
      <c r="AB35" s="31">
        <v>0.65</v>
      </c>
      <c r="AC35" s="32">
        <v>1.6789000000000001</v>
      </c>
      <c r="AD35" s="33">
        <v>0.14000000000000001</v>
      </c>
      <c r="AE35" s="33">
        <v>0.1522</v>
      </c>
      <c r="AF35" s="33">
        <v>0.21779999999999999</v>
      </c>
      <c r="AG35" s="33">
        <v>0.2351</v>
      </c>
      <c r="AH35" s="33">
        <v>0.25659999999999999</v>
      </c>
      <c r="AI35" s="32">
        <v>1.6525000000000001</v>
      </c>
      <c r="AJ35" s="33">
        <v>0.14069999999999999</v>
      </c>
      <c r="AK35" s="33">
        <v>0.15260000000000001</v>
      </c>
      <c r="AL35" s="33">
        <v>0.23250000000000001</v>
      </c>
      <c r="AM35" s="33">
        <v>0.25059999999999999</v>
      </c>
      <c r="AN35" s="33">
        <v>0.216</v>
      </c>
    </row>
    <row r="36" spans="1:42">
      <c r="A36" s="29" t="s">
        <v>99</v>
      </c>
      <c r="B36" s="10">
        <v>2</v>
      </c>
      <c r="C36" s="29" t="s">
        <v>82</v>
      </c>
      <c r="D36" s="30">
        <v>597966.80000000005</v>
      </c>
      <c r="E36" s="30">
        <v>5851811.2000000002</v>
      </c>
      <c r="F36" s="31">
        <v>24.8</v>
      </c>
      <c r="H36" s="29" t="s">
        <v>120</v>
      </c>
      <c r="I36" s="27" t="s">
        <v>61</v>
      </c>
      <c r="J36" s="31">
        <v>4</v>
      </c>
      <c r="K36" s="31">
        <v>4.4000000000000004</v>
      </c>
      <c r="L36" s="17">
        <f>F36+J36</f>
        <v>28.8</v>
      </c>
      <c r="M36" s="16">
        <f>F36+K36</f>
        <v>29.200000000000003</v>
      </c>
      <c r="N36" s="12">
        <f>(L36+M36)/2</f>
        <v>29</v>
      </c>
      <c r="O36" s="11">
        <f>ROUND(N36,0)</f>
        <v>29</v>
      </c>
      <c r="P36" s="13">
        <f>J36</f>
        <v>4</v>
      </c>
      <c r="Q36" s="13">
        <f>K36</f>
        <v>4.4000000000000004</v>
      </c>
      <c r="R36" s="13">
        <f>P36+F36</f>
        <v>28.8</v>
      </c>
      <c r="S36" s="13">
        <f>F36+Q36</f>
        <v>29.200000000000003</v>
      </c>
      <c r="T36" s="13">
        <f>(R36+S36)/2</f>
        <v>29</v>
      </c>
      <c r="U36" s="14">
        <f>ROUND(T36,0)</f>
        <v>29</v>
      </c>
      <c r="V36" s="34">
        <v>2.66</v>
      </c>
      <c r="W36" s="31">
        <v>96.12</v>
      </c>
      <c r="X36" s="31">
        <v>1.21</v>
      </c>
      <c r="Y36" s="31">
        <v>1.07</v>
      </c>
      <c r="Z36" s="31">
        <v>0.51</v>
      </c>
      <c r="AA36" s="34">
        <v>1.21</v>
      </c>
      <c r="AB36" s="31">
        <v>0.65</v>
      </c>
      <c r="AC36" s="32">
        <v>1.6476</v>
      </c>
      <c r="AD36" s="33">
        <v>0.13739999999999999</v>
      </c>
      <c r="AE36" s="33">
        <v>0.1477</v>
      </c>
      <c r="AF36" s="33">
        <v>0.2104</v>
      </c>
      <c r="AG36" s="33">
        <v>0.22639999999999999</v>
      </c>
      <c r="AH36" s="33">
        <v>0.24360000000000001</v>
      </c>
      <c r="AI36" s="32">
        <v>1.6240000000000001</v>
      </c>
      <c r="AJ36" s="33">
        <v>0.13800000000000001</v>
      </c>
      <c r="AK36" s="33">
        <v>0.14799999999999999</v>
      </c>
      <c r="AL36" s="33">
        <v>0.22420000000000001</v>
      </c>
      <c r="AM36" s="33">
        <v>0.24060000000000001</v>
      </c>
      <c r="AN36" s="33">
        <v>0.2089</v>
      </c>
    </row>
    <row r="37" spans="1:42">
      <c r="A37" s="29" t="s">
        <v>100</v>
      </c>
      <c r="B37" s="10">
        <v>2</v>
      </c>
      <c r="C37" s="29" t="s">
        <v>83</v>
      </c>
      <c r="D37" s="30">
        <v>598733.4</v>
      </c>
      <c r="E37" s="30">
        <v>5851814.5999999996</v>
      </c>
      <c r="F37" s="31">
        <v>23.7</v>
      </c>
      <c r="H37" s="29" t="s">
        <v>111</v>
      </c>
      <c r="I37" s="27" t="s">
        <v>65</v>
      </c>
      <c r="J37" s="31">
        <v>0.1</v>
      </c>
      <c r="K37" s="31">
        <v>0.52</v>
      </c>
      <c r="L37" s="17">
        <f>F37+J37</f>
        <v>23.8</v>
      </c>
      <c r="M37" s="16">
        <f>F37+K37</f>
        <v>24.22</v>
      </c>
      <c r="N37" s="12">
        <f>(L37+M37)/2</f>
        <v>24.009999999999998</v>
      </c>
      <c r="O37" s="11">
        <f>ROUND(N37,0)</f>
        <v>24</v>
      </c>
      <c r="P37" s="13">
        <v>0</v>
      </c>
      <c r="Q37" s="13">
        <f>K37</f>
        <v>0.52</v>
      </c>
      <c r="R37" s="13">
        <f>P37+F37</f>
        <v>23.7</v>
      </c>
      <c r="S37" s="13">
        <f>F37+Q37</f>
        <v>24.22</v>
      </c>
      <c r="T37" s="13">
        <f>(R37+S37)/2</f>
        <v>23.96</v>
      </c>
      <c r="U37" s="14">
        <f>ROUND(T37,0)</f>
        <v>24</v>
      </c>
      <c r="V37" s="34">
        <v>0.35</v>
      </c>
      <c r="W37" s="31">
        <v>97.92</v>
      </c>
      <c r="X37" s="31">
        <v>1.73</v>
      </c>
      <c r="Y37" s="31">
        <v>1.31</v>
      </c>
      <c r="Z37" s="31">
        <v>1.1200000000000001</v>
      </c>
      <c r="AA37" s="34">
        <v>1.73</v>
      </c>
      <c r="AB37" s="31">
        <v>1.54</v>
      </c>
      <c r="AC37" s="32">
        <v>1.593</v>
      </c>
      <c r="AD37" s="33">
        <v>0.1399</v>
      </c>
      <c r="AE37" s="33">
        <v>0.1525</v>
      </c>
      <c r="AF37" s="33">
        <v>0.20979999999999999</v>
      </c>
      <c r="AG37" s="33">
        <v>0.2228</v>
      </c>
      <c r="AH37" s="33">
        <v>0.2366</v>
      </c>
      <c r="AI37" s="32">
        <v>1.5601</v>
      </c>
      <c r="AJ37" s="33">
        <v>0.1431</v>
      </c>
      <c r="AK37" s="33">
        <v>0.15579999999999999</v>
      </c>
      <c r="AL37" s="33">
        <v>0.2233</v>
      </c>
      <c r="AM37" s="33">
        <v>0.2369</v>
      </c>
      <c r="AN37" s="33">
        <v>0.21049999999999999</v>
      </c>
    </row>
    <row r="38" spans="1:42">
      <c r="A38" s="29" t="s">
        <v>100</v>
      </c>
      <c r="B38" s="10">
        <v>2</v>
      </c>
      <c r="C38" s="29" t="s">
        <v>83</v>
      </c>
      <c r="D38" s="30">
        <v>598733.4</v>
      </c>
      <c r="E38" s="30">
        <v>5851814.5999999996</v>
      </c>
      <c r="F38" s="31">
        <v>23.7</v>
      </c>
      <c r="H38" s="29" t="s">
        <v>111</v>
      </c>
      <c r="I38" s="27" t="s">
        <v>58</v>
      </c>
      <c r="J38" s="31">
        <v>0.52</v>
      </c>
      <c r="K38" s="31">
        <v>1</v>
      </c>
      <c r="L38" s="17">
        <f>F38+J38</f>
        <v>24.22</v>
      </c>
      <c r="M38" s="16">
        <f>F38+K38</f>
        <v>24.7</v>
      </c>
      <c r="N38" s="12">
        <f>(L38+M38)/2</f>
        <v>24.46</v>
      </c>
      <c r="O38" s="11">
        <f>ROUND(N38,0)</f>
        <v>24</v>
      </c>
      <c r="P38" s="13">
        <f>J38</f>
        <v>0.52</v>
      </c>
      <c r="Q38" s="13">
        <v>1.39</v>
      </c>
      <c r="R38" s="13">
        <f>P38+F38</f>
        <v>24.22</v>
      </c>
      <c r="S38" s="13">
        <f>F38+Q38</f>
        <v>25.09</v>
      </c>
      <c r="T38" s="13">
        <f>(R38+S38)/2</f>
        <v>24.655000000000001</v>
      </c>
      <c r="U38" s="14">
        <f>ROUND(T38,0)</f>
        <v>25</v>
      </c>
      <c r="V38" s="34">
        <v>0.26</v>
      </c>
      <c r="W38" s="31">
        <v>97.83</v>
      </c>
      <c r="X38" s="31">
        <v>1.9</v>
      </c>
      <c r="Y38" s="31">
        <v>1.6</v>
      </c>
      <c r="Z38" s="31">
        <v>1.02</v>
      </c>
      <c r="AA38" s="34">
        <v>1.9</v>
      </c>
      <c r="AB38" s="31">
        <v>1.33</v>
      </c>
      <c r="AC38" s="32">
        <v>1.6254999999999999</v>
      </c>
      <c r="AD38" s="33">
        <v>0.13850000000000001</v>
      </c>
      <c r="AE38" s="33">
        <v>0.15010000000000001</v>
      </c>
      <c r="AF38" s="33">
        <v>0.2107</v>
      </c>
      <c r="AG38" s="33">
        <v>0.22520000000000001</v>
      </c>
      <c r="AH38" s="33">
        <v>0.24060000000000001</v>
      </c>
      <c r="AI38" s="32">
        <v>1.599</v>
      </c>
      <c r="AJ38" s="33">
        <v>0.14119999999999999</v>
      </c>
      <c r="AK38" s="33">
        <v>0.15279999999999999</v>
      </c>
      <c r="AL38" s="33">
        <v>0.22570000000000001</v>
      </c>
      <c r="AM38" s="33">
        <v>0.2409</v>
      </c>
      <c r="AN38" s="33">
        <v>0.21149999999999999</v>
      </c>
    </row>
    <row r="39" spans="1:42">
      <c r="A39" s="29" t="s">
        <v>100</v>
      </c>
      <c r="B39" s="10">
        <v>2</v>
      </c>
      <c r="C39" s="29" t="s">
        <v>83</v>
      </c>
      <c r="D39" s="30">
        <v>598733.4</v>
      </c>
      <c r="E39" s="30">
        <v>5851814.5999999996</v>
      </c>
      <c r="F39" s="31">
        <v>23.7</v>
      </c>
      <c r="H39" s="29" t="s">
        <v>112</v>
      </c>
      <c r="I39" s="27" t="s">
        <v>59</v>
      </c>
      <c r="J39" s="31">
        <v>1.39</v>
      </c>
      <c r="K39" s="31">
        <v>2</v>
      </c>
      <c r="L39" s="17">
        <f>F39+J39</f>
        <v>25.09</v>
      </c>
      <c r="M39" s="16">
        <f>F39+K39</f>
        <v>25.7</v>
      </c>
      <c r="N39" s="12">
        <f>(L39+M39)/2</f>
        <v>25.395</v>
      </c>
      <c r="O39" s="11">
        <f>ROUND(N39,0)</f>
        <v>25</v>
      </c>
      <c r="P39" s="13">
        <f>J39</f>
        <v>1.39</v>
      </c>
      <c r="Q39" s="13">
        <v>2</v>
      </c>
      <c r="R39" s="13">
        <f>P39+F39</f>
        <v>25.09</v>
      </c>
      <c r="S39" s="13">
        <f>F39+Q39</f>
        <v>25.7</v>
      </c>
      <c r="T39" s="13">
        <f>(R39+S39)/2</f>
        <v>25.395</v>
      </c>
      <c r="U39" s="14">
        <f>ROUND(T39,0)</f>
        <v>25</v>
      </c>
      <c r="V39" s="34">
        <v>0.06</v>
      </c>
      <c r="W39" s="31">
        <v>98.28</v>
      </c>
      <c r="X39" s="31">
        <v>1.66</v>
      </c>
      <c r="Y39" s="31">
        <v>1.01</v>
      </c>
      <c r="Z39" s="31">
        <v>0.6</v>
      </c>
      <c r="AA39" s="34">
        <v>1.66</v>
      </c>
      <c r="AB39" s="31">
        <v>1.25</v>
      </c>
      <c r="AC39" s="32">
        <v>1.4113</v>
      </c>
      <c r="AD39" s="33">
        <v>0.15759999999999999</v>
      </c>
      <c r="AE39" s="33">
        <v>0.18129999999999999</v>
      </c>
      <c r="AF39" s="33">
        <v>0.21260000000000001</v>
      </c>
      <c r="AG39" s="33">
        <v>0.2225</v>
      </c>
      <c r="AH39" s="33">
        <v>0.23280000000000001</v>
      </c>
      <c r="AI39" s="32">
        <v>1.355</v>
      </c>
      <c r="AJ39" s="33">
        <v>0.16450000000000001</v>
      </c>
      <c r="AK39" s="33">
        <v>0.18210000000000001</v>
      </c>
      <c r="AL39" s="33">
        <v>0.22289999999999999</v>
      </c>
      <c r="AM39" s="33">
        <v>0.23319999999999999</v>
      </c>
      <c r="AN39" s="33">
        <v>0.21310000000000001</v>
      </c>
    </row>
    <row r="40" spans="1:42">
      <c r="A40" s="29" t="s">
        <v>100</v>
      </c>
      <c r="B40" s="10">
        <v>2</v>
      </c>
      <c r="C40" s="29" t="s">
        <v>83</v>
      </c>
      <c r="D40" s="30">
        <v>598733.4</v>
      </c>
      <c r="E40" s="30">
        <v>5851814.5999999996</v>
      </c>
      <c r="F40" s="31">
        <v>23.7</v>
      </c>
      <c r="H40" s="29" t="s">
        <v>117</v>
      </c>
      <c r="I40" s="27" t="s">
        <v>61</v>
      </c>
      <c r="J40" s="31">
        <v>4.04</v>
      </c>
      <c r="K40" s="31">
        <v>5</v>
      </c>
      <c r="L40" s="17">
        <f>F40+J40</f>
        <v>27.74</v>
      </c>
      <c r="M40" s="16">
        <f>F40+K40</f>
        <v>28.7</v>
      </c>
      <c r="N40" s="12">
        <f>(L40+M40)/2</f>
        <v>28.22</v>
      </c>
      <c r="O40" s="11">
        <f>ROUND(N40,0)</f>
        <v>28</v>
      </c>
      <c r="P40" s="13">
        <f>J40</f>
        <v>4.04</v>
      </c>
      <c r="Q40" s="13">
        <v>5</v>
      </c>
      <c r="R40" s="13">
        <f>P40+F40</f>
        <v>27.74</v>
      </c>
      <c r="S40" s="13">
        <f>F40+Q40</f>
        <v>28.7</v>
      </c>
      <c r="T40" s="13">
        <f>(R40+S40)/2</f>
        <v>28.22</v>
      </c>
      <c r="U40" s="14">
        <f>ROUND(T40,0)</f>
        <v>28</v>
      </c>
      <c r="V40" s="34">
        <v>0</v>
      </c>
      <c r="W40" s="31">
        <v>98.35</v>
      </c>
      <c r="X40" s="31">
        <v>1.65</v>
      </c>
      <c r="Y40" s="31">
        <v>1.03</v>
      </c>
      <c r="Z40" s="31">
        <v>0.6</v>
      </c>
      <c r="AA40" s="34">
        <v>1.65</v>
      </c>
      <c r="AB40" s="31">
        <v>1.23</v>
      </c>
      <c r="AC40" s="32">
        <v>1.6247</v>
      </c>
      <c r="AD40" s="33">
        <v>0.1343</v>
      </c>
      <c r="AE40" s="33">
        <v>0.14360000000000001</v>
      </c>
      <c r="AF40" s="33">
        <v>0.20369999999999999</v>
      </c>
      <c r="AG40" s="33">
        <v>0.21829999999999999</v>
      </c>
      <c r="AH40" s="33">
        <v>0.23380000000000001</v>
      </c>
      <c r="AI40" s="32">
        <v>1.6064000000000001</v>
      </c>
      <c r="AJ40" s="33">
        <v>0.1363</v>
      </c>
      <c r="AK40" s="33">
        <v>0.14560000000000001</v>
      </c>
      <c r="AL40" s="33">
        <v>0.219</v>
      </c>
      <c r="AM40" s="33">
        <v>0.2344</v>
      </c>
      <c r="AN40" s="33">
        <v>0.2046</v>
      </c>
    </row>
    <row r="41" spans="1:42">
      <c r="A41" s="29" t="s">
        <v>100</v>
      </c>
      <c r="B41" s="10">
        <v>2</v>
      </c>
      <c r="C41" s="29" t="s">
        <v>83</v>
      </c>
      <c r="D41" s="30">
        <v>598733.4</v>
      </c>
      <c r="E41" s="30">
        <v>5851814.5999999996</v>
      </c>
      <c r="F41" s="31">
        <v>23.7</v>
      </c>
      <c r="H41" s="29" t="s">
        <v>113</v>
      </c>
      <c r="I41" s="27" t="s">
        <v>60</v>
      </c>
      <c r="J41" s="31">
        <v>2.0499999999999998</v>
      </c>
      <c r="K41" s="31">
        <v>3</v>
      </c>
      <c r="L41" s="17">
        <f>F41+J41</f>
        <v>25.75</v>
      </c>
      <c r="M41" s="16">
        <f>F41+K41</f>
        <v>26.7</v>
      </c>
      <c r="N41" s="12">
        <f>(L41+M41)/2</f>
        <v>26.225000000000001</v>
      </c>
      <c r="O41" s="11">
        <f>ROUND(N41,0)</f>
        <v>26</v>
      </c>
      <c r="P41" s="13">
        <v>2</v>
      </c>
      <c r="Q41" s="13">
        <f>K41</f>
        <v>3</v>
      </c>
      <c r="R41" s="13">
        <f>P41+F41</f>
        <v>25.7</v>
      </c>
      <c r="S41" s="13">
        <f>F41+Q41</f>
        <v>26.7</v>
      </c>
      <c r="T41" s="13">
        <f>(R41+S41)/2</f>
        <v>26.2</v>
      </c>
      <c r="U41" s="14">
        <f>ROUND(T41,0)</f>
        <v>26</v>
      </c>
      <c r="V41" s="34">
        <v>7.0000000000000007E-2</v>
      </c>
      <c r="W41" s="31">
        <v>98.59</v>
      </c>
      <c r="X41" s="31">
        <v>1.34</v>
      </c>
      <c r="Y41" s="31">
        <v>0.86</v>
      </c>
      <c r="Z41" s="31">
        <v>0.69</v>
      </c>
      <c r="AA41" s="34">
        <v>1.34</v>
      </c>
      <c r="AB41" s="31">
        <v>1.1599999999999999</v>
      </c>
      <c r="AC41" s="32">
        <v>1.7761</v>
      </c>
      <c r="AD41" s="33">
        <v>0.18490000000000001</v>
      </c>
      <c r="AE41" s="33">
        <v>0.20749999999999999</v>
      </c>
      <c r="AF41" s="33">
        <v>0.30509999999999998</v>
      </c>
      <c r="AG41" s="33">
        <v>0.32850000000000001</v>
      </c>
      <c r="AH41" s="33">
        <v>0.35370000000000001</v>
      </c>
      <c r="AI41" s="32">
        <v>1.7395</v>
      </c>
      <c r="AJ41" s="33">
        <v>0.18940000000000001</v>
      </c>
      <c r="AK41" s="33">
        <v>0.2122</v>
      </c>
      <c r="AL41" s="33">
        <v>0.32950000000000002</v>
      </c>
      <c r="AM41" s="33">
        <v>0.35449999999999998</v>
      </c>
      <c r="AN41" s="33">
        <v>0.30630000000000002</v>
      </c>
    </row>
    <row r="42" spans="1:42">
      <c r="A42" s="29" t="s">
        <v>100</v>
      </c>
      <c r="B42" s="10">
        <v>2</v>
      </c>
      <c r="C42" s="29" t="s">
        <v>83</v>
      </c>
      <c r="D42" s="30">
        <v>598733.4</v>
      </c>
      <c r="E42" s="30">
        <v>5851814.5999999996</v>
      </c>
      <c r="F42" s="31">
        <v>23.7</v>
      </c>
      <c r="H42" s="29" t="s">
        <v>116</v>
      </c>
      <c r="I42" s="27" t="s">
        <v>63</v>
      </c>
      <c r="J42" s="31">
        <v>3.04</v>
      </c>
      <c r="K42" s="31">
        <v>4</v>
      </c>
      <c r="L42" s="17">
        <f>F42+J42</f>
        <v>26.74</v>
      </c>
      <c r="M42" s="16">
        <f>F42+K42</f>
        <v>27.7</v>
      </c>
      <c r="N42" s="12">
        <f>(L42+M42)/2</f>
        <v>27.22</v>
      </c>
      <c r="O42" s="11">
        <f>ROUND(N42,0)</f>
        <v>27</v>
      </c>
      <c r="P42" s="13">
        <v>3</v>
      </c>
      <c r="Q42" s="13">
        <f>K42</f>
        <v>4</v>
      </c>
      <c r="R42" s="13">
        <f>P42+F42</f>
        <v>26.7</v>
      </c>
      <c r="S42" s="13">
        <f>F42+Q42</f>
        <v>27.7</v>
      </c>
      <c r="T42" s="13">
        <f>(R42+S42)/2</f>
        <v>27.2</v>
      </c>
      <c r="U42" s="14">
        <f>ROUND(T42,0)</f>
        <v>27</v>
      </c>
      <c r="V42" s="34">
        <v>0</v>
      </c>
      <c r="W42" s="31">
        <v>98.63</v>
      </c>
      <c r="X42" s="31">
        <v>1.37</v>
      </c>
      <c r="Y42" s="31">
        <v>0.66</v>
      </c>
      <c r="Z42" s="31">
        <v>0.37</v>
      </c>
      <c r="AA42" s="34">
        <v>1.37</v>
      </c>
      <c r="AB42" s="31">
        <v>1.08</v>
      </c>
      <c r="AC42" s="32">
        <v>2.0030999999999999</v>
      </c>
      <c r="AD42" s="33">
        <v>0.1462</v>
      </c>
      <c r="AE42" s="33">
        <v>0.1668</v>
      </c>
      <c r="AF42" s="33">
        <v>0.27139999999999997</v>
      </c>
      <c r="AG42" s="33">
        <v>0.29289999999999999</v>
      </c>
      <c r="AH42" s="33">
        <v>0.316</v>
      </c>
      <c r="AI42" s="32">
        <v>1.9590000000000001</v>
      </c>
      <c r="AJ42" s="33">
        <v>0.15</v>
      </c>
      <c r="AK42" s="33">
        <v>0.17080000000000001</v>
      </c>
      <c r="AL42" s="33">
        <v>0.29380000000000001</v>
      </c>
      <c r="AM42" s="33">
        <v>0.31680000000000003</v>
      </c>
      <c r="AN42" s="33">
        <v>0.27250000000000002</v>
      </c>
    </row>
    <row r="43" spans="1:42">
      <c r="A43" s="29" t="s">
        <v>100</v>
      </c>
      <c r="B43" s="10">
        <v>2</v>
      </c>
      <c r="C43" s="29" t="s">
        <v>83</v>
      </c>
      <c r="D43" s="30">
        <v>598733.4</v>
      </c>
      <c r="E43" s="30">
        <v>5851814.5999999996</v>
      </c>
      <c r="F43" s="31">
        <v>23.7</v>
      </c>
      <c r="H43" s="29" t="s">
        <v>118</v>
      </c>
      <c r="I43" s="19" t="s">
        <v>62</v>
      </c>
      <c r="J43" s="31">
        <v>5.05</v>
      </c>
      <c r="K43" s="31">
        <v>5.6</v>
      </c>
      <c r="L43" s="17">
        <f>F43+J43</f>
        <v>28.75</v>
      </c>
      <c r="M43" s="16">
        <f>F43+K43</f>
        <v>29.299999999999997</v>
      </c>
      <c r="N43" s="12">
        <f>(L43+M43)/2</f>
        <v>29.024999999999999</v>
      </c>
      <c r="O43" s="11">
        <f>ROUND(N43,0)</f>
        <v>29</v>
      </c>
      <c r="P43" s="13">
        <v>5</v>
      </c>
      <c r="Q43" s="13">
        <f>K43</f>
        <v>5.6</v>
      </c>
      <c r="R43" s="13">
        <f>P43+F43</f>
        <v>28.7</v>
      </c>
      <c r="S43" s="13">
        <f>F43+Q43</f>
        <v>29.299999999999997</v>
      </c>
      <c r="T43" s="13">
        <f>(R43+S43)/2</f>
        <v>29</v>
      </c>
      <c r="U43" s="14">
        <f>ROUND(T43,0)</f>
        <v>29</v>
      </c>
      <c r="V43" s="34">
        <v>0</v>
      </c>
      <c r="W43" s="31">
        <v>98.29</v>
      </c>
      <c r="X43" s="31">
        <v>1.71</v>
      </c>
      <c r="Y43" s="31">
        <v>1.1399999999999999</v>
      </c>
      <c r="Z43" s="31">
        <v>0.55000000000000004</v>
      </c>
      <c r="AA43" s="34">
        <v>1.71</v>
      </c>
      <c r="AB43" s="31">
        <v>1.1200000000000001</v>
      </c>
      <c r="AC43" s="32">
        <v>1.6331</v>
      </c>
      <c r="AD43" s="33">
        <v>0.13769999999999999</v>
      </c>
      <c r="AE43" s="33">
        <v>0.1492</v>
      </c>
      <c r="AF43" s="33">
        <v>0.21029999999999999</v>
      </c>
      <c r="AG43" s="33">
        <v>0.22489999999999999</v>
      </c>
      <c r="AH43" s="33">
        <v>0.2404</v>
      </c>
      <c r="AI43" s="32">
        <v>1.6116999999999999</v>
      </c>
      <c r="AJ43" s="33">
        <v>0.1399</v>
      </c>
      <c r="AK43" s="33">
        <v>0.1515</v>
      </c>
      <c r="AL43" s="33">
        <v>0.22559999999999999</v>
      </c>
      <c r="AM43" s="33">
        <v>0.24099999999999999</v>
      </c>
      <c r="AN43" s="33">
        <v>0.21110000000000001</v>
      </c>
      <c r="AP43" s="22"/>
    </row>
    <row r="44" spans="1:42">
      <c r="A44" s="29" t="s">
        <v>101</v>
      </c>
      <c r="B44" s="10">
        <v>2</v>
      </c>
      <c r="C44" s="29" t="s">
        <v>84</v>
      </c>
      <c r="D44" s="30">
        <v>598952.69999999995</v>
      </c>
      <c r="E44" s="30">
        <v>5851811.2999999998</v>
      </c>
      <c r="F44" s="31">
        <v>23.9</v>
      </c>
      <c r="H44" s="29" t="s">
        <v>111</v>
      </c>
      <c r="I44" s="27" t="s">
        <v>65</v>
      </c>
      <c r="J44" s="31">
        <v>0.13</v>
      </c>
      <c r="K44" s="31">
        <v>0.51</v>
      </c>
      <c r="L44" s="17">
        <f>F44+J44</f>
        <v>24.029999999999998</v>
      </c>
      <c r="M44" s="16">
        <f>F44+K44</f>
        <v>24.41</v>
      </c>
      <c r="N44" s="12">
        <f>(L44+M44)/2</f>
        <v>24.22</v>
      </c>
      <c r="O44" s="11">
        <f>ROUND(N44,0)</f>
        <v>24</v>
      </c>
      <c r="P44" s="13">
        <v>0</v>
      </c>
      <c r="Q44" s="13">
        <f>K44</f>
        <v>0.51</v>
      </c>
      <c r="R44" s="13">
        <f>P44+F44</f>
        <v>23.9</v>
      </c>
      <c r="S44" s="13">
        <f>F44+Q44</f>
        <v>24.41</v>
      </c>
      <c r="T44" s="13">
        <f>(R44+S44)/2</f>
        <v>24.155000000000001</v>
      </c>
      <c r="U44" s="14">
        <f>ROUND(T44,0)</f>
        <v>24</v>
      </c>
      <c r="V44" s="34">
        <v>0.11</v>
      </c>
      <c r="W44" s="31">
        <v>96.97</v>
      </c>
      <c r="X44" s="31">
        <v>2.92</v>
      </c>
      <c r="Y44" s="31">
        <v>2.2599999999999998</v>
      </c>
      <c r="Z44" s="31">
        <v>1.98</v>
      </c>
      <c r="AA44" s="34">
        <v>2.92</v>
      </c>
      <c r="AB44" s="31">
        <v>2.65</v>
      </c>
      <c r="AC44" s="32">
        <v>1.6339999999999999</v>
      </c>
      <c r="AD44" s="33">
        <v>0.13439999999999999</v>
      </c>
      <c r="AE44" s="33">
        <v>0.14480000000000001</v>
      </c>
      <c r="AF44" s="33">
        <v>0.20569999999999999</v>
      </c>
      <c r="AG44" s="33">
        <v>0.21959999999999999</v>
      </c>
      <c r="AH44" s="33">
        <v>0.2344</v>
      </c>
      <c r="AI44" s="32">
        <v>1.5874999999999999</v>
      </c>
      <c r="AJ44" s="33">
        <v>0.13919999999999999</v>
      </c>
      <c r="AK44" s="33">
        <v>0.1497</v>
      </c>
      <c r="AL44" s="33">
        <v>0.221</v>
      </c>
      <c r="AM44" s="33">
        <v>0.23549999999999999</v>
      </c>
      <c r="AN44" s="33">
        <v>0.2074</v>
      </c>
      <c r="AP44" s="22"/>
    </row>
    <row r="45" spans="1:42">
      <c r="A45" s="29" t="s">
        <v>101</v>
      </c>
      <c r="B45" s="10">
        <v>2</v>
      </c>
      <c r="C45" s="29" t="s">
        <v>84</v>
      </c>
      <c r="D45" s="30">
        <v>598952.69999999995</v>
      </c>
      <c r="E45" s="30">
        <v>5851811.2999999998</v>
      </c>
      <c r="F45" s="31">
        <v>23.9</v>
      </c>
      <c r="H45" s="29" t="s">
        <v>111</v>
      </c>
      <c r="I45" s="27" t="s">
        <v>58</v>
      </c>
      <c r="J45" s="31">
        <v>0.51</v>
      </c>
      <c r="K45" s="31">
        <v>1</v>
      </c>
      <c r="L45" s="17">
        <f>F45+J45</f>
        <v>24.41</v>
      </c>
      <c r="M45" s="16">
        <f>F45+K45</f>
        <v>24.9</v>
      </c>
      <c r="N45" s="12">
        <f>(L45+M45)/2</f>
        <v>24.655000000000001</v>
      </c>
      <c r="O45" s="11">
        <f>ROUND(N45,0)</f>
        <v>25</v>
      </c>
      <c r="P45" s="13">
        <f>J45</f>
        <v>0.51</v>
      </c>
      <c r="Q45" s="13">
        <f>K45</f>
        <v>1</v>
      </c>
      <c r="R45" s="13">
        <f>P45+F45</f>
        <v>24.41</v>
      </c>
      <c r="S45" s="13">
        <f>F45+Q45</f>
        <v>24.9</v>
      </c>
      <c r="T45" s="13">
        <f>(R45+S45)/2</f>
        <v>24.655000000000001</v>
      </c>
      <c r="U45" s="14">
        <f>ROUND(T45,0)</f>
        <v>25</v>
      </c>
      <c r="V45" s="34">
        <v>7.0000000000000007E-2</v>
      </c>
      <c r="W45" s="31">
        <v>97.64</v>
      </c>
      <c r="X45" s="31">
        <v>2.29</v>
      </c>
      <c r="Y45" s="31">
        <v>1.86</v>
      </c>
      <c r="Z45" s="31">
        <v>1.33</v>
      </c>
      <c r="AA45" s="34">
        <v>2.29</v>
      </c>
      <c r="AB45" s="31">
        <v>1.76</v>
      </c>
      <c r="AC45" s="32">
        <v>1.6059000000000001</v>
      </c>
      <c r="AD45" s="33">
        <v>0.1361</v>
      </c>
      <c r="AE45" s="33">
        <v>0.14649999999999999</v>
      </c>
      <c r="AF45" s="33">
        <v>0.20530000000000001</v>
      </c>
      <c r="AG45" s="33">
        <v>0.21859999999999999</v>
      </c>
      <c r="AH45" s="33">
        <v>0.23280000000000001</v>
      </c>
      <c r="AI45" s="32">
        <v>1.5759000000000001</v>
      </c>
      <c r="AJ45" s="33">
        <v>0.13930000000000001</v>
      </c>
      <c r="AK45" s="33">
        <v>0.1497</v>
      </c>
      <c r="AL45" s="33">
        <v>0.2195</v>
      </c>
      <c r="AM45" s="33">
        <v>0.23350000000000001</v>
      </c>
      <c r="AN45" s="33">
        <v>0.2064</v>
      </c>
      <c r="AP45" s="22"/>
    </row>
    <row r="46" spans="1:42">
      <c r="A46" s="29" t="s">
        <v>101</v>
      </c>
      <c r="B46" s="10">
        <v>2</v>
      </c>
      <c r="C46" s="29" t="s">
        <v>84</v>
      </c>
      <c r="D46" s="30">
        <v>598952.69999999995</v>
      </c>
      <c r="E46" s="30">
        <v>5851811.2999999998</v>
      </c>
      <c r="F46" s="31">
        <v>23.9</v>
      </c>
      <c r="H46" s="29" t="s">
        <v>112</v>
      </c>
      <c r="I46" s="27" t="s">
        <v>59</v>
      </c>
      <c r="J46" s="31">
        <v>1.04</v>
      </c>
      <c r="K46" s="31">
        <v>1.45</v>
      </c>
      <c r="L46" s="17">
        <f>F46+J46</f>
        <v>24.939999999999998</v>
      </c>
      <c r="M46" s="16">
        <f>F46+K46</f>
        <v>25.349999999999998</v>
      </c>
      <c r="N46" s="12">
        <f>(L46+M46)/2</f>
        <v>25.144999999999996</v>
      </c>
      <c r="O46" s="11">
        <f>ROUND(N46,0)</f>
        <v>25</v>
      </c>
      <c r="P46" s="13">
        <v>1</v>
      </c>
      <c r="Q46" s="13">
        <v>2</v>
      </c>
      <c r="R46" s="13">
        <f>P46+F46</f>
        <v>24.9</v>
      </c>
      <c r="S46" s="13">
        <f>F46+Q46</f>
        <v>25.9</v>
      </c>
      <c r="T46" s="13">
        <f>(R46+S46)/2</f>
        <v>25.4</v>
      </c>
      <c r="U46" s="14">
        <f>ROUND(T46,0)</f>
        <v>25</v>
      </c>
      <c r="V46" s="34">
        <v>4.7</v>
      </c>
      <c r="W46" s="31">
        <v>93.64</v>
      </c>
      <c r="X46" s="31">
        <v>1.66</v>
      </c>
      <c r="Y46" s="31">
        <v>1.01</v>
      </c>
      <c r="Z46" s="31">
        <v>0.91</v>
      </c>
      <c r="AA46" s="34">
        <v>1.66</v>
      </c>
      <c r="AB46" s="31">
        <v>1.56</v>
      </c>
      <c r="AC46" s="32">
        <v>1.7497</v>
      </c>
      <c r="AD46" s="33">
        <v>0.14269999999999999</v>
      </c>
      <c r="AE46" s="33">
        <v>0.15809999999999999</v>
      </c>
      <c r="AF46" s="33">
        <v>0.22950000000000001</v>
      </c>
      <c r="AG46" s="33">
        <v>0.24979999999999999</v>
      </c>
      <c r="AH46" s="33">
        <v>0.3044</v>
      </c>
      <c r="AI46" s="32">
        <v>1.6851</v>
      </c>
      <c r="AJ46" s="33">
        <v>0.14549999999999999</v>
      </c>
      <c r="AK46" s="33">
        <v>0.16009999999999999</v>
      </c>
      <c r="AL46" s="33">
        <v>0.24510000000000001</v>
      </c>
      <c r="AM46" s="33">
        <v>0.2878</v>
      </c>
      <c r="AN46" s="33">
        <v>0.22639999999999999</v>
      </c>
      <c r="AP46" s="22"/>
    </row>
    <row r="47" spans="1:42">
      <c r="A47" s="29" t="s">
        <v>101</v>
      </c>
      <c r="B47" s="10">
        <v>2</v>
      </c>
      <c r="C47" s="29" t="s">
        <v>84</v>
      </c>
      <c r="D47" s="30">
        <v>598952.69999999995</v>
      </c>
      <c r="E47" s="30">
        <v>5851811.2999999998</v>
      </c>
      <c r="F47" s="31">
        <v>23.9</v>
      </c>
      <c r="H47" s="29" t="s">
        <v>113</v>
      </c>
      <c r="I47" s="27" t="s">
        <v>60</v>
      </c>
      <c r="J47" s="31">
        <v>2.04</v>
      </c>
      <c r="K47" s="31">
        <v>3</v>
      </c>
      <c r="L47" s="17">
        <f>F47+J47</f>
        <v>25.939999999999998</v>
      </c>
      <c r="M47" s="16">
        <f>F47+K47</f>
        <v>26.9</v>
      </c>
      <c r="N47" s="12">
        <f>(L47+M47)/2</f>
        <v>26.419999999999998</v>
      </c>
      <c r="O47" s="11">
        <f>ROUND(N47,0)</f>
        <v>26</v>
      </c>
      <c r="P47" s="13">
        <v>2</v>
      </c>
      <c r="Q47" s="13">
        <f>K47</f>
        <v>3</v>
      </c>
      <c r="R47" s="13">
        <f>P47+F47</f>
        <v>25.9</v>
      </c>
      <c r="S47" s="13">
        <f>F47+Q47</f>
        <v>26.9</v>
      </c>
      <c r="T47" s="13">
        <f>(R47+S47)/2</f>
        <v>26.4</v>
      </c>
      <c r="U47" s="14">
        <f>ROUND(T47,0)</f>
        <v>26</v>
      </c>
      <c r="V47" s="34">
        <v>0.94</v>
      </c>
      <c r="W47" s="31">
        <v>97.71</v>
      </c>
      <c r="X47" s="31">
        <v>1.35</v>
      </c>
      <c r="Y47" s="31">
        <v>0.94</v>
      </c>
      <c r="Z47" s="31">
        <v>0.71</v>
      </c>
      <c r="AA47" s="34">
        <v>1.35</v>
      </c>
      <c r="AB47" s="31">
        <v>1.1200000000000001</v>
      </c>
      <c r="AC47" s="32">
        <v>1.9391</v>
      </c>
      <c r="AD47" s="33">
        <v>0.16020000000000001</v>
      </c>
      <c r="AE47" s="33">
        <v>0.19109999999999999</v>
      </c>
      <c r="AF47" s="33">
        <v>0.29170000000000001</v>
      </c>
      <c r="AG47" s="33">
        <v>0.31069999999999998</v>
      </c>
      <c r="AH47" s="33">
        <v>0.33100000000000002</v>
      </c>
      <c r="AI47" s="32">
        <v>1.8613999999999999</v>
      </c>
      <c r="AJ47" s="33">
        <v>0.1668</v>
      </c>
      <c r="AK47" s="33">
        <v>0.1951</v>
      </c>
      <c r="AL47" s="33">
        <v>0.3105</v>
      </c>
      <c r="AM47" s="33">
        <v>0.33029999999999998</v>
      </c>
      <c r="AN47" s="33">
        <v>0.29189999999999999</v>
      </c>
      <c r="AP47" s="22"/>
    </row>
    <row r="48" spans="1:42">
      <c r="A48" s="29" t="s">
        <v>101</v>
      </c>
      <c r="B48" s="10">
        <v>2</v>
      </c>
      <c r="C48" s="29" t="s">
        <v>84</v>
      </c>
      <c r="D48" s="30">
        <v>598952.69999999995</v>
      </c>
      <c r="E48" s="30">
        <v>5851811.2999999998</v>
      </c>
      <c r="F48" s="31">
        <v>23.9</v>
      </c>
      <c r="H48" s="29" t="s">
        <v>116</v>
      </c>
      <c r="I48" s="27" t="s">
        <v>63</v>
      </c>
      <c r="J48" s="31">
        <v>3.05</v>
      </c>
      <c r="K48" s="31">
        <v>4</v>
      </c>
      <c r="L48" s="17">
        <f>F48+J48</f>
        <v>26.95</v>
      </c>
      <c r="M48" s="16">
        <f>F48+K48</f>
        <v>27.9</v>
      </c>
      <c r="N48" s="12">
        <f>(L48+M48)/2</f>
        <v>27.424999999999997</v>
      </c>
      <c r="O48" s="11">
        <f>ROUND(N48,0)</f>
        <v>27</v>
      </c>
      <c r="P48" s="13">
        <v>3</v>
      </c>
      <c r="Q48" s="13">
        <f>K48</f>
        <v>4</v>
      </c>
      <c r="R48" s="13">
        <f>P48+F48</f>
        <v>26.9</v>
      </c>
      <c r="S48" s="13">
        <f>F48+Q48</f>
        <v>27.9</v>
      </c>
      <c r="T48" s="13">
        <f>(R48+S48)/2</f>
        <v>27.4</v>
      </c>
      <c r="U48" s="14">
        <f>ROUND(T48,0)</f>
        <v>27</v>
      </c>
      <c r="V48" s="34">
        <v>0</v>
      </c>
      <c r="W48" s="31">
        <v>98.73</v>
      </c>
      <c r="X48" s="31">
        <v>1.27</v>
      </c>
      <c r="Y48" s="31">
        <v>0.9</v>
      </c>
      <c r="Z48" s="31">
        <v>0.65</v>
      </c>
      <c r="AA48" s="34">
        <v>1.27</v>
      </c>
      <c r="AB48" s="31">
        <v>1.02</v>
      </c>
      <c r="AC48" s="32">
        <v>1.5959000000000001</v>
      </c>
      <c r="AD48" s="33">
        <v>0.1978</v>
      </c>
      <c r="AE48" s="33">
        <v>0.2346</v>
      </c>
      <c r="AF48" s="33">
        <v>0.29899999999999999</v>
      </c>
      <c r="AG48" s="33">
        <v>0.31559999999999999</v>
      </c>
      <c r="AH48" s="33">
        <v>0.3332</v>
      </c>
      <c r="AI48" s="32">
        <v>1.5503</v>
      </c>
      <c r="AJ48" s="33">
        <v>0.2041</v>
      </c>
      <c r="AK48" s="33">
        <v>0.24160000000000001</v>
      </c>
      <c r="AL48" s="33">
        <v>0.31630000000000003</v>
      </c>
      <c r="AM48" s="33">
        <v>0.3337</v>
      </c>
      <c r="AN48" s="33">
        <v>0.2999</v>
      </c>
      <c r="AP48" s="22"/>
    </row>
    <row r="49" spans="1:42">
      <c r="A49" s="29" t="s">
        <v>101</v>
      </c>
      <c r="B49" s="10">
        <v>2</v>
      </c>
      <c r="C49" s="29" t="s">
        <v>84</v>
      </c>
      <c r="D49" s="30">
        <v>598952.69999999995</v>
      </c>
      <c r="E49" s="30">
        <v>5851811.2999999998</v>
      </c>
      <c r="F49" s="31">
        <v>23.9</v>
      </c>
      <c r="H49" s="29" t="s">
        <v>117</v>
      </c>
      <c r="I49" s="27" t="s">
        <v>61</v>
      </c>
      <c r="J49" s="31">
        <v>4</v>
      </c>
      <c r="K49" s="31">
        <v>5</v>
      </c>
      <c r="L49" s="17">
        <f>F49+J49</f>
        <v>27.9</v>
      </c>
      <c r="M49" s="16">
        <f>F49+K49</f>
        <v>28.9</v>
      </c>
      <c r="N49" s="12">
        <f>(L49+M49)/2</f>
        <v>28.4</v>
      </c>
      <c r="O49" s="11">
        <f>ROUND(N49,0)</f>
        <v>28</v>
      </c>
      <c r="P49" s="13">
        <f>J49</f>
        <v>4</v>
      </c>
      <c r="Q49" s="13">
        <f>K49</f>
        <v>5</v>
      </c>
      <c r="R49" s="13">
        <f>P49+F49</f>
        <v>27.9</v>
      </c>
      <c r="S49" s="13">
        <f>F49+Q49</f>
        <v>28.9</v>
      </c>
      <c r="T49" s="13">
        <f>(R49+S49)/2</f>
        <v>28.4</v>
      </c>
      <c r="U49" s="14">
        <f>ROUND(T49,0)</f>
        <v>28</v>
      </c>
      <c r="V49" s="34">
        <v>0.06</v>
      </c>
      <c r="W49" s="31">
        <v>98.65</v>
      </c>
      <c r="X49" s="31">
        <v>1.29</v>
      </c>
      <c r="Y49" s="31">
        <v>0.83</v>
      </c>
      <c r="Z49" s="31">
        <v>0.51</v>
      </c>
      <c r="AA49" s="34">
        <v>1.29</v>
      </c>
      <c r="AB49" s="31">
        <v>0.98</v>
      </c>
      <c r="AC49" s="32">
        <v>2.1194999999999999</v>
      </c>
      <c r="AD49" s="33">
        <v>0.15820000000000001</v>
      </c>
      <c r="AE49" s="33">
        <v>0.18820000000000001</v>
      </c>
      <c r="AF49" s="33">
        <v>0.30819999999999997</v>
      </c>
      <c r="AG49" s="33">
        <v>0.3352</v>
      </c>
      <c r="AH49" s="33">
        <v>0.37040000000000001</v>
      </c>
      <c r="AI49" s="32">
        <v>2.0566</v>
      </c>
      <c r="AJ49" s="33">
        <v>0.16350000000000001</v>
      </c>
      <c r="AK49" s="33">
        <v>0.19259999999999999</v>
      </c>
      <c r="AL49" s="33">
        <v>0.3362</v>
      </c>
      <c r="AM49" s="33">
        <v>0.37159999999999999</v>
      </c>
      <c r="AN49" s="33">
        <v>0.30940000000000001</v>
      </c>
      <c r="AP49" s="22"/>
    </row>
    <row r="50" spans="1:42">
      <c r="A50" s="29" t="s">
        <v>101</v>
      </c>
      <c r="B50" s="10">
        <v>2</v>
      </c>
      <c r="C50" s="29" t="s">
        <v>84</v>
      </c>
      <c r="D50" s="30">
        <v>598952.69999999995</v>
      </c>
      <c r="E50" s="30">
        <v>5851811.2999999998</v>
      </c>
      <c r="F50" s="31">
        <v>23.9</v>
      </c>
      <c r="G50" s="16"/>
      <c r="H50" s="29" t="s">
        <v>118</v>
      </c>
      <c r="I50" s="19" t="s">
        <v>62</v>
      </c>
      <c r="J50" s="31">
        <v>5.04</v>
      </c>
      <c r="K50" s="31">
        <v>6</v>
      </c>
      <c r="L50" s="17">
        <f>F50+J50</f>
        <v>28.939999999999998</v>
      </c>
      <c r="M50" s="16">
        <f>F50+K50</f>
        <v>29.9</v>
      </c>
      <c r="N50" s="12">
        <f>(L50+M50)/2</f>
        <v>29.419999999999998</v>
      </c>
      <c r="O50" s="11">
        <f>ROUND(N50,0)</f>
        <v>29</v>
      </c>
      <c r="P50" s="13">
        <f>J50</f>
        <v>5.04</v>
      </c>
      <c r="Q50" s="13">
        <f>K50</f>
        <v>6</v>
      </c>
      <c r="R50" s="13">
        <f>P50+F50</f>
        <v>28.939999999999998</v>
      </c>
      <c r="S50" s="13">
        <f>F50+Q50</f>
        <v>29.9</v>
      </c>
      <c r="T50" s="13">
        <f>(R50+S50)/2</f>
        <v>29.419999999999998</v>
      </c>
      <c r="U50" s="14">
        <f>ROUND(T50,0)</f>
        <v>29</v>
      </c>
      <c r="V50" s="34">
        <v>0</v>
      </c>
      <c r="W50" s="31">
        <v>98.94</v>
      </c>
      <c r="X50" s="31">
        <v>1.06</v>
      </c>
      <c r="Y50" s="31">
        <v>0.95</v>
      </c>
      <c r="Z50" s="31">
        <v>0.63</v>
      </c>
      <c r="AA50" s="34">
        <v>1.06</v>
      </c>
      <c r="AB50" s="31">
        <v>0.75</v>
      </c>
      <c r="AC50" s="32">
        <v>1.6168</v>
      </c>
      <c r="AD50" s="33">
        <v>0.12790000000000001</v>
      </c>
      <c r="AE50" s="33">
        <v>0.13389999999999999</v>
      </c>
      <c r="AF50" s="33">
        <v>0.18579999999999999</v>
      </c>
      <c r="AG50" s="33">
        <v>0.20669999999999999</v>
      </c>
      <c r="AH50" s="33">
        <v>0.23</v>
      </c>
      <c r="AI50" s="32">
        <v>1.6120000000000001</v>
      </c>
      <c r="AJ50" s="33">
        <v>0.12859999999999999</v>
      </c>
      <c r="AK50" s="33">
        <v>0.13469999999999999</v>
      </c>
      <c r="AL50" s="33">
        <v>0.2074</v>
      </c>
      <c r="AM50" s="33">
        <v>0.2306</v>
      </c>
      <c r="AN50" s="33">
        <v>0.1865</v>
      </c>
      <c r="AP50" s="22"/>
    </row>
    <row r="51" spans="1:42">
      <c r="A51" s="29" t="s">
        <v>102</v>
      </c>
      <c r="B51" s="10">
        <v>2</v>
      </c>
      <c r="C51" s="29" t="s">
        <v>85</v>
      </c>
      <c r="D51" s="30">
        <v>598373.4</v>
      </c>
      <c r="E51" s="30">
        <v>5853567</v>
      </c>
      <c r="F51" s="31">
        <v>26.4</v>
      </c>
      <c r="G51" s="16"/>
      <c r="H51" s="29" t="s">
        <v>111</v>
      </c>
      <c r="I51" s="27" t="s">
        <v>65</v>
      </c>
      <c r="J51" s="31">
        <v>0.08</v>
      </c>
      <c r="K51" s="31">
        <v>0.41</v>
      </c>
      <c r="L51" s="17">
        <f>F51+J51</f>
        <v>26.479999999999997</v>
      </c>
      <c r="M51" s="16">
        <f>F51+K51</f>
        <v>26.81</v>
      </c>
      <c r="N51" s="12">
        <f>(L51+M51)/2</f>
        <v>26.644999999999996</v>
      </c>
      <c r="O51" s="11">
        <f>ROUND(N51,0)</f>
        <v>27</v>
      </c>
      <c r="P51" s="13">
        <v>0</v>
      </c>
      <c r="Q51" s="13">
        <f>K51</f>
        <v>0.41</v>
      </c>
      <c r="R51" s="13">
        <f>P51+F51</f>
        <v>26.4</v>
      </c>
      <c r="S51" s="13">
        <f>F51+Q51</f>
        <v>26.81</v>
      </c>
      <c r="T51" s="13">
        <f>(R51+S51)/2</f>
        <v>26.604999999999997</v>
      </c>
      <c r="U51" s="14">
        <f>ROUND(T51,0)</f>
        <v>27</v>
      </c>
      <c r="V51" s="34">
        <v>0.02</v>
      </c>
      <c r="W51" s="31">
        <v>98.95</v>
      </c>
      <c r="X51" s="31">
        <v>1.03</v>
      </c>
      <c r="Y51" s="31">
        <v>0.73</v>
      </c>
      <c r="Z51" s="31">
        <v>0.57999999999999996</v>
      </c>
      <c r="AA51" s="34">
        <v>1.03</v>
      </c>
      <c r="AB51" s="31">
        <v>0.88</v>
      </c>
      <c r="AC51" s="32">
        <v>1.6393</v>
      </c>
      <c r="AD51" s="33">
        <v>0.13980000000000001</v>
      </c>
      <c r="AE51" s="33">
        <v>0.1535</v>
      </c>
      <c r="AF51" s="33">
        <v>0.2145</v>
      </c>
      <c r="AG51" s="33">
        <v>0.22919999999999999</v>
      </c>
      <c r="AH51" s="33">
        <v>0.24490000000000001</v>
      </c>
      <c r="AI51" s="32">
        <v>1.6189</v>
      </c>
      <c r="AJ51" s="33">
        <v>0.1419</v>
      </c>
      <c r="AK51" s="33">
        <v>0.15570000000000001</v>
      </c>
      <c r="AL51" s="33">
        <v>0.22969999999999999</v>
      </c>
      <c r="AM51" s="33">
        <v>0.24529999999999999</v>
      </c>
      <c r="AN51" s="33">
        <v>0.21510000000000001</v>
      </c>
      <c r="AP51" s="22"/>
    </row>
    <row r="52" spans="1:42">
      <c r="A52" s="29" t="s">
        <v>102</v>
      </c>
      <c r="B52" s="10">
        <v>2</v>
      </c>
      <c r="C52" s="29" t="s">
        <v>85</v>
      </c>
      <c r="D52" s="30">
        <v>598373.4</v>
      </c>
      <c r="E52" s="30">
        <v>5853567</v>
      </c>
      <c r="F52" s="31">
        <v>26.4</v>
      </c>
      <c r="H52" s="29" t="s">
        <v>111</v>
      </c>
      <c r="I52" s="27" t="s">
        <v>58</v>
      </c>
      <c r="J52" s="31">
        <v>0.41</v>
      </c>
      <c r="K52" s="31">
        <v>1</v>
      </c>
      <c r="L52" s="17">
        <f>F52+J52</f>
        <v>26.81</v>
      </c>
      <c r="M52" s="16">
        <f>F52+K52</f>
        <v>27.4</v>
      </c>
      <c r="N52" s="12">
        <f>(L52+M52)/2</f>
        <v>27.104999999999997</v>
      </c>
      <c r="O52" s="11">
        <f>ROUND(N52,0)</f>
        <v>27</v>
      </c>
      <c r="P52" s="13">
        <f>J52</f>
        <v>0.41</v>
      </c>
      <c r="Q52" s="13">
        <f>K52</f>
        <v>1</v>
      </c>
      <c r="R52" s="13">
        <f>P52+F52</f>
        <v>26.81</v>
      </c>
      <c r="S52" s="13">
        <f>F52+Q52</f>
        <v>27.4</v>
      </c>
      <c r="T52" s="13">
        <f>(R52+S52)/2</f>
        <v>27.104999999999997</v>
      </c>
      <c r="U52" s="14">
        <f>ROUND(T52,0)</f>
        <v>27</v>
      </c>
      <c r="V52" s="34">
        <v>0</v>
      </c>
      <c r="W52" s="31">
        <v>98.75</v>
      </c>
      <c r="X52" s="31">
        <v>1.25</v>
      </c>
      <c r="Y52" s="31">
        <v>1.01</v>
      </c>
      <c r="Z52" s="31">
        <v>0.6</v>
      </c>
      <c r="AA52" s="34">
        <v>1.25</v>
      </c>
      <c r="AB52" s="31">
        <v>0.84</v>
      </c>
      <c r="AC52" s="32">
        <v>1.593</v>
      </c>
      <c r="AD52" s="33">
        <v>0.1525</v>
      </c>
      <c r="AE52" s="33">
        <v>0.17610000000000001</v>
      </c>
      <c r="AF52" s="33">
        <v>0.22700000000000001</v>
      </c>
      <c r="AG52" s="33">
        <v>0.2429</v>
      </c>
      <c r="AH52" s="33">
        <v>0.26900000000000002</v>
      </c>
      <c r="AI52" s="32">
        <v>1.5621</v>
      </c>
      <c r="AJ52" s="33">
        <v>0.15579999999999999</v>
      </c>
      <c r="AK52" s="33">
        <v>0.17979999999999999</v>
      </c>
      <c r="AL52" s="33">
        <v>0.24340000000000001</v>
      </c>
      <c r="AM52" s="33">
        <v>0.26989999999999997</v>
      </c>
      <c r="AN52" s="33">
        <v>0.2276</v>
      </c>
      <c r="AP52" s="22"/>
    </row>
    <row r="53" spans="1:42">
      <c r="A53" s="29" t="s">
        <v>102</v>
      </c>
      <c r="B53" s="10">
        <v>2</v>
      </c>
      <c r="C53" s="29" t="s">
        <v>85</v>
      </c>
      <c r="D53" s="30">
        <v>598373.4</v>
      </c>
      <c r="E53" s="30">
        <v>5853567</v>
      </c>
      <c r="F53" s="31">
        <v>26.4</v>
      </c>
      <c r="H53" s="29" t="s">
        <v>112</v>
      </c>
      <c r="I53" s="27" t="s">
        <v>59</v>
      </c>
      <c r="J53" s="31">
        <v>1.04</v>
      </c>
      <c r="K53" s="31">
        <v>2</v>
      </c>
      <c r="L53" s="17">
        <f>F53+J53</f>
        <v>27.439999999999998</v>
      </c>
      <c r="M53" s="16">
        <f>F53+K53</f>
        <v>28.4</v>
      </c>
      <c r="N53" s="12">
        <f>(L53+M53)/2</f>
        <v>27.919999999999998</v>
      </c>
      <c r="O53" s="11">
        <f>ROUND(N53,0)</f>
        <v>28</v>
      </c>
      <c r="P53" s="13">
        <v>1</v>
      </c>
      <c r="Q53" s="13">
        <f>K53</f>
        <v>2</v>
      </c>
      <c r="R53" s="13">
        <f>P53+F53</f>
        <v>27.4</v>
      </c>
      <c r="S53" s="13">
        <f>F53+Q53</f>
        <v>28.4</v>
      </c>
      <c r="T53" s="13">
        <f>(R53+S53)/2</f>
        <v>27.9</v>
      </c>
      <c r="U53" s="14">
        <f>ROUND(T53,0)</f>
        <v>28</v>
      </c>
      <c r="V53" s="34">
        <v>0</v>
      </c>
      <c r="W53" s="31">
        <v>98.86</v>
      </c>
      <c r="X53" s="31">
        <v>1.1399999999999999</v>
      </c>
      <c r="Y53" s="31">
        <v>0.86</v>
      </c>
      <c r="Z53" s="31">
        <v>0.6</v>
      </c>
      <c r="AA53" s="34">
        <v>1.1399999999999999</v>
      </c>
      <c r="AB53" s="31">
        <v>0.87</v>
      </c>
      <c r="AC53" s="32">
        <v>1.6785000000000001</v>
      </c>
      <c r="AD53" s="33">
        <v>0.14230000000000001</v>
      </c>
      <c r="AE53" s="33">
        <v>0.1573</v>
      </c>
      <c r="AF53" s="33">
        <v>0.22189999999999999</v>
      </c>
      <c r="AG53" s="33">
        <v>0.2389</v>
      </c>
      <c r="AH53" s="33">
        <v>0.26300000000000001</v>
      </c>
      <c r="AI53" s="32">
        <v>1.6566000000000001</v>
      </c>
      <c r="AJ53" s="33">
        <v>0.14460000000000001</v>
      </c>
      <c r="AK53" s="33">
        <v>0.15970000000000001</v>
      </c>
      <c r="AL53" s="33">
        <v>0.23949999999999999</v>
      </c>
      <c r="AM53" s="33">
        <v>0.26390000000000002</v>
      </c>
      <c r="AN53" s="33">
        <v>0.22259999999999999</v>
      </c>
      <c r="AP53" s="22"/>
    </row>
    <row r="54" spans="1:42">
      <c r="A54" s="29" t="s">
        <v>102</v>
      </c>
      <c r="B54" s="10">
        <v>2</v>
      </c>
      <c r="C54" s="29" t="s">
        <v>85</v>
      </c>
      <c r="D54" s="30">
        <v>598373.4</v>
      </c>
      <c r="E54" s="30">
        <v>5853567</v>
      </c>
      <c r="F54" s="31">
        <v>26.4</v>
      </c>
      <c r="G54" s="16"/>
      <c r="H54" s="29" t="s">
        <v>113</v>
      </c>
      <c r="I54" s="27" t="s">
        <v>60</v>
      </c>
      <c r="J54" s="31">
        <v>2.0499999999999998</v>
      </c>
      <c r="K54" s="31">
        <v>3</v>
      </c>
      <c r="L54" s="17">
        <f>F54+J54</f>
        <v>28.45</v>
      </c>
      <c r="M54" s="16">
        <f>F54+K54</f>
        <v>29.4</v>
      </c>
      <c r="N54" s="12">
        <f>(L54+M54)/2</f>
        <v>28.924999999999997</v>
      </c>
      <c r="O54" s="11">
        <f>ROUND(N54,0)</f>
        <v>29</v>
      </c>
      <c r="P54" s="13">
        <v>2</v>
      </c>
      <c r="Q54" s="13">
        <f>K54</f>
        <v>3</v>
      </c>
      <c r="R54" s="13">
        <f>P54+F54</f>
        <v>28.4</v>
      </c>
      <c r="S54" s="13">
        <f>F54+Q54</f>
        <v>29.4</v>
      </c>
      <c r="T54" s="13">
        <f>(R54+S54)/2</f>
        <v>28.9</v>
      </c>
      <c r="U54" s="14">
        <f>ROUND(T54,0)</f>
        <v>29</v>
      </c>
      <c r="V54" s="34">
        <v>0</v>
      </c>
      <c r="W54" s="31">
        <v>99.06</v>
      </c>
      <c r="X54" s="31">
        <v>0.94</v>
      </c>
      <c r="Y54" s="31">
        <v>0.82</v>
      </c>
      <c r="Z54" s="31">
        <v>0.55000000000000004</v>
      </c>
      <c r="AA54" s="34">
        <v>0.94</v>
      </c>
      <c r="AB54" s="31">
        <v>0.67</v>
      </c>
      <c r="AC54" s="32">
        <v>1.7017</v>
      </c>
      <c r="AD54" s="33">
        <v>0.1414</v>
      </c>
      <c r="AE54" s="33">
        <v>0.15540000000000001</v>
      </c>
      <c r="AF54" s="33">
        <v>0.22259999999999999</v>
      </c>
      <c r="AG54" s="33">
        <v>0.24060000000000001</v>
      </c>
      <c r="AH54" s="33">
        <v>0.26519999999999999</v>
      </c>
      <c r="AI54" s="32">
        <v>1.6859</v>
      </c>
      <c r="AJ54" s="33">
        <v>0.14299999999999999</v>
      </c>
      <c r="AK54" s="33">
        <v>0.15709999999999999</v>
      </c>
      <c r="AL54" s="33">
        <v>0.24110000000000001</v>
      </c>
      <c r="AM54" s="33">
        <v>0.26579999999999998</v>
      </c>
      <c r="AN54" s="33">
        <v>0.22320000000000001</v>
      </c>
      <c r="AP54" s="22"/>
    </row>
    <row r="55" spans="1:42">
      <c r="A55" s="29" t="s">
        <v>102</v>
      </c>
      <c r="B55" s="10">
        <v>2</v>
      </c>
      <c r="C55" s="29" t="s">
        <v>85</v>
      </c>
      <c r="D55" s="30">
        <v>598373.4</v>
      </c>
      <c r="E55" s="30">
        <v>5853567</v>
      </c>
      <c r="F55" s="31">
        <v>26.4</v>
      </c>
      <c r="H55" s="29" t="s">
        <v>116</v>
      </c>
      <c r="I55" s="27" t="s">
        <v>63</v>
      </c>
      <c r="J55" s="31">
        <v>3.03</v>
      </c>
      <c r="K55" s="31">
        <v>3.75</v>
      </c>
      <c r="L55" s="17">
        <f>F55+J55</f>
        <v>29.43</v>
      </c>
      <c r="M55" s="16">
        <f>F55+K55</f>
        <v>30.15</v>
      </c>
      <c r="N55" s="12">
        <f>(L55+M55)/2</f>
        <v>29.79</v>
      </c>
      <c r="O55" s="11">
        <f>ROUND(N55,0)</f>
        <v>30</v>
      </c>
      <c r="P55" s="13">
        <v>3</v>
      </c>
      <c r="Q55" s="13">
        <f>K55</f>
        <v>3.75</v>
      </c>
      <c r="R55" s="13">
        <f>P55+F55</f>
        <v>29.4</v>
      </c>
      <c r="S55" s="13">
        <f>F55+Q55</f>
        <v>30.15</v>
      </c>
      <c r="T55" s="13">
        <f>(R55+S55)/2</f>
        <v>29.774999999999999</v>
      </c>
      <c r="U55" s="14">
        <f>ROUND(T55,0)</f>
        <v>30</v>
      </c>
      <c r="V55" s="34">
        <v>0.66</v>
      </c>
      <c r="W55" s="31">
        <v>98.48</v>
      </c>
      <c r="X55" s="31">
        <v>0.86</v>
      </c>
      <c r="Y55" s="31">
        <v>0.51</v>
      </c>
      <c r="Z55" s="31">
        <v>0.32</v>
      </c>
      <c r="AA55" s="34">
        <v>0.86</v>
      </c>
      <c r="AB55" s="31">
        <v>0.67</v>
      </c>
      <c r="AC55" s="32">
        <v>1.804</v>
      </c>
      <c r="AD55" s="33">
        <v>0.18110000000000001</v>
      </c>
      <c r="AE55" s="33">
        <v>0.19450000000000001</v>
      </c>
      <c r="AF55" s="33">
        <v>0.2964</v>
      </c>
      <c r="AG55" s="33">
        <v>0.32669999999999999</v>
      </c>
      <c r="AH55" s="33">
        <v>0.36470000000000002</v>
      </c>
      <c r="AI55" s="32">
        <v>1.788</v>
      </c>
      <c r="AJ55" s="33">
        <v>0.1825</v>
      </c>
      <c r="AK55" s="33">
        <v>0.19589999999999999</v>
      </c>
      <c r="AL55" s="33">
        <v>0.32629999999999998</v>
      </c>
      <c r="AM55" s="33">
        <v>0.36299999999999999</v>
      </c>
      <c r="AN55" s="33">
        <v>0.2964</v>
      </c>
      <c r="AP55" s="22"/>
    </row>
    <row r="56" spans="1:42">
      <c r="A56" s="29" t="s">
        <v>102</v>
      </c>
      <c r="B56" s="10">
        <v>2</v>
      </c>
      <c r="C56" s="29" t="s">
        <v>85</v>
      </c>
      <c r="D56" s="30">
        <v>598373.4</v>
      </c>
      <c r="E56" s="30">
        <v>5853567</v>
      </c>
      <c r="F56" s="31">
        <v>26.4</v>
      </c>
      <c r="H56" s="29" t="s">
        <v>115</v>
      </c>
      <c r="I56" s="27" t="s">
        <v>61</v>
      </c>
      <c r="J56" s="31">
        <v>5</v>
      </c>
      <c r="K56" s="31">
        <v>5.3</v>
      </c>
      <c r="L56" s="17">
        <f>F56+J56</f>
        <v>31.4</v>
      </c>
      <c r="M56" s="16">
        <f>F56+K56</f>
        <v>31.7</v>
      </c>
      <c r="N56" s="12">
        <f>(L56+M56)/2</f>
        <v>31.549999999999997</v>
      </c>
      <c r="O56" s="11">
        <f>ROUND(N56,0)</f>
        <v>32</v>
      </c>
      <c r="P56" s="13">
        <v>3.75</v>
      </c>
      <c r="Q56" s="13">
        <f>K56</f>
        <v>5.3</v>
      </c>
      <c r="R56" s="13">
        <f>P56+F56</f>
        <v>30.15</v>
      </c>
      <c r="S56" s="13">
        <f>F56+Q56</f>
        <v>31.7</v>
      </c>
      <c r="T56" s="13">
        <f>(R56+S56)/2</f>
        <v>30.924999999999997</v>
      </c>
      <c r="U56" s="14">
        <f>ROUND(T56,0)</f>
        <v>31</v>
      </c>
      <c r="V56" s="34">
        <v>0</v>
      </c>
      <c r="W56" s="31">
        <v>98.5</v>
      </c>
      <c r="X56" s="31">
        <v>1.5</v>
      </c>
      <c r="Y56" s="31">
        <v>1.32</v>
      </c>
      <c r="Z56" s="31">
        <v>0.76</v>
      </c>
      <c r="AA56" s="34">
        <v>1.5</v>
      </c>
      <c r="AB56" s="31">
        <v>0.93</v>
      </c>
      <c r="AC56" s="32">
        <v>1.9198</v>
      </c>
      <c r="AD56" s="33">
        <v>0.16309999999999999</v>
      </c>
      <c r="AE56" s="33">
        <v>0.1943</v>
      </c>
      <c r="AF56" s="33">
        <v>0.29360000000000003</v>
      </c>
      <c r="AG56" s="33">
        <v>0.31309999999999999</v>
      </c>
      <c r="AH56" s="33">
        <v>0.33400000000000002</v>
      </c>
      <c r="AI56" s="32">
        <v>1.8441000000000001</v>
      </c>
      <c r="AJ56" s="33">
        <v>0.17019999999999999</v>
      </c>
      <c r="AK56" s="33">
        <v>0.19819999999999999</v>
      </c>
      <c r="AL56" s="33">
        <v>0.31390000000000001</v>
      </c>
      <c r="AM56" s="33">
        <v>0.33460000000000001</v>
      </c>
      <c r="AN56" s="33">
        <v>0.29449999999999998</v>
      </c>
      <c r="AP56" s="22"/>
    </row>
    <row r="57" spans="1:42">
      <c r="A57" s="29" t="s">
        <v>103</v>
      </c>
      <c r="B57" s="10">
        <v>2</v>
      </c>
      <c r="C57" s="29" t="s">
        <v>86</v>
      </c>
      <c r="D57" s="30">
        <v>598807.5</v>
      </c>
      <c r="E57" s="30">
        <v>5853712.7000000002</v>
      </c>
      <c r="F57" s="31">
        <v>24.4</v>
      </c>
      <c r="H57" s="29" t="s">
        <v>111</v>
      </c>
      <c r="I57" s="27" t="s">
        <v>58</v>
      </c>
      <c r="J57" s="31">
        <v>0.2</v>
      </c>
      <c r="K57" s="31">
        <v>0.92</v>
      </c>
      <c r="L57" s="17">
        <f>F57+J57</f>
        <v>24.599999999999998</v>
      </c>
      <c r="M57" s="16">
        <f>F57+K57</f>
        <v>25.32</v>
      </c>
      <c r="N57" s="12">
        <f>(L57+M57)/2</f>
        <v>24.96</v>
      </c>
      <c r="O57" s="11">
        <f>ROUND(N57,0)</f>
        <v>25</v>
      </c>
      <c r="P57" s="13">
        <v>0</v>
      </c>
      <c r="Q57" s="13">
        <f>K57</f>
        <v>0.92</v>
      </c>
      <c r="R57" s="13">
        <f>P57+F57</f>
        <v>24.4</v>
      </c>
      <c r="S57" s="13">
        <f>F57+Q57</f>
        <v>25.32</v>
      </c>
      <c r="T57" s="13">
        <f>(R57+S57)/2</f>
        <v>24.86</v>
      </c>
      <c r="U57" s="14">
        <f>ROUND(T57,0)</f>
        <v>25</v>
      </c>
      <c r="V57" s="34">
        <v>0.61</v>
      </c>
      <c r="W57" s="31">
        <v>98.01</v>
      </c>
      <c r="X57" s="31">
        <v>1.38</v>
      </c>
      <c r="Y57" s="31">
        <v>0.95</v>
      </c>
      <c r="Z57" s="31">
        <v>0.7</v>
      </c>
      <c r="AA57" s="34">
        <v>1.38</v>
      </c>
      <c r="AB57" s="31">
        <v>1.1299999999999999</v>
      </c>
      <c r="AC57" s="32">
        <v>1.9298999999999999</v>
      </c>
      <c r="AD57" s="33">
        <v>0.14000000000000001</v>
      </c>
      <c r="AE57" s="33">
        <v>0.15509999999999999</v>
      </c>
      <c r="AF57" s="33">
        <v>0.2374</v>
      </c>
      <c r="AG57" s="33">
        <v>0.2702</v>
      </c>
      <c r="AH57" s="33">
        <v>0.31719999999999998</v>
      </c>
      <c r="AI57" s="32">
        <v>1.8951</v>
      </c>
      <c r="AJ57" s="33">
        <v>0.14280000000000001</v>
      </c>
      <c r="AK57" s="33">
        <v>0.15790000000000001</v>
      </c>
      <c r="AL57" s="33">
        <v>0.27050000000000002</v>
      </c>
      <c r="AM57" s="33">
        <v>0.31680000000000003</v>
      </c>
      <c r="AN57" s="33">
        <v>0.23810000000000001</v>
      </c>
      <c r="AP57" s="22"/>
    </row>
    <row r="58" spans="1:42">
      <c r="A58" s="29" t="s">
        <v>103</v>
      </c>
      <c r="B58" s="10">
        <v>2</v>
      </c>
      <c r="C58" s="29" t="s">
        <v>86</v>
      </c>
      <c r="D58" s="30">
        <v>598807.5</v>
      </c>
      <c r="E58" s="30">
        <v>5853712.7000000002</v>
      </c>
      <c r="F58" s="31">
        <v>24.4</v>
      </c>
      <c r="H58" s="29" t="s">
        <v>111</v>
      </c>
      <c r="I58" s="27" t="s">
        <v>58</v>
      </c>
      <c r="J58" s="31">
        <v>0.92</v>
      </c>
      <c r="K58" s="31">
        <v>1</v>
      </c>
      <c r="L58" s="17">
        <f>F58+J58</f>
        <v>25.32</v>
      </c>
      <c r="M58" s="16">
        <f>F58+K58</f>
        <v>25.4</v>
      </c>
      <c r="N58" s="12">
        <f>(L58+M58)/2</f>
        <v>25.36</v>
      </c>
      <c r="O58" s="11">
        <f>ROUND(N58,0)</f>
        <v>25</v>
      </c>
      <c r="P58" s="13">
        <f>J58</f>
        <v>0.92</v>
      </c>
      <c r="Q58" s="13">
        <f>K58</f>
        <v>1</v>
      </c>
      <c r="R58" s="13">
        <f>P58+F58</f>
        <v>25.32</v>
      </c>
      <c r="S58" s="13">
        <f>F58+Q58</f>
        <v>25.4</v>
      </c>
      <c r="T58" s="13">
        <f>(R58+S58)/2</f>
        <v>25.36</v>
      </c>
      <c r="U58" s="14">
        <f>ROUND(T58,0)</f>
        <v>25</v>
      </c>
      <c r="V58" s="34">
        <v>0.54</v>
      </c>
      <c r="W58" s="31">
        <v>96.49</v>
      </c>
      <c r="X58" s="31">
        <v>2.97</v>
      </c>
      <c r="Y58" s="31">
        <v>2.46</v>
      </c>
      <c r="Z58" s="31">
        <v>1.84</v>
      </c>
      <c r="AA58" s="34">
        <v>2.97</v>
      </c>
      <c r="AB58" s="31">
        <v>2.35</v>
      </c>
      <c r="AC58" s="32">
        <v>1.8677999999999999</v>
      </c>
      <c r="AD58" s="33">
        <v>0.11020000000000001</v>
      </c>
      <c r="AE58" s="33">
        <v>0.12790000000000001</v>
      </c>
      <c r="AF58" s="33">
        <v>0.1825</v>
      </c>
      <c r="AG58" s="33">
        <v>0.2059</v>
      </c>
      <c r="AH58" s="33">
        <v>0.23230000000000001</v>
      </c>
      <c r="AI58" s="32">
        <v>1.7117</v>
      </c>
      <c r="AJ58" s="33">
        <v>0.1212</v>
      </c>
      <c r="AK58" s="33">
        <v>0.13039999999999999</v>
      </c>
      <c r="AL58" s="33">
        <v>0.2074</v>
      </c>
      <c r="AM58" s="33">
        <v>0.23319999999999999</v>
      </c>
      <c r="AN58" s="33">
        <v>0.1845</v>
      </c>
      <c r="AP58" s="22"/>
    </row>
    <row r="59" spans="1:42">
      <c r="A59" s="29" t="s">
        <v>103</v>
      </c>
      <c r="B59" s="10">
        <v>2</v>
      </c>
      <c r="C59" s="29" t="s">
        <v>86</v>
      </c>
      <c r="D59" s="30">
        <v>598807.5</v>
      </c>
      <c r="E59" s="30">
        <v>5853712.7000000002</v>
      </c>
      <c r="F59" s="31">
        <v>24.4</v>
      </c>
      <c r="H59" s="29" t="s">
        <v>112</v>
      </c>
      <c r="I59" s="27" t="s">
        <v>59</v>
      </c>
      <c r="J59" s="31">
        <v>1.1200000000000001</v>
      </c>
      <c r="K59" s="31">
        <v>2</v>
      </c>
      <c r="L59" s="17">
        <f>F59+J59</f>
        <v>25.52</v>
      </c>
      <c r="M59" s="16">
        <f>F59+K59</f>
        <v>26.4</v>
      </c>
      <c r="N59" s="12">
        <f>(L59+M59)/2</f>
        <v>25.96</v>
      </c>
      <c r="O59" s="11">
        <f>ROUND(N59,0)</f>
        <v>26</v>
      </c>
      <c r="P59" s="13">
        <v>1</v>
      </c>
      <c r="Q59" s="13">
        <f>K59</f>
        <v>2</v>
      </c>
      <c r="R59" s="13">
        <f>P59+F59</f>
        <v>25.4</v>
      </c>
      <c r="S59" s="13">
        <f>F59+Q59</f>
        <v>26.4</v>
      </c>
      <c r="T59" s="13">
        <f>(R59+S59)/2</f>
        <v>25.9</v>
      </c>
      <c r="U59" s="14">
        <f>ROUND(T59,0)</f>
        <v>26</v>
      </c>
      <c r="V59" s="34">
        <v>0.04</v>
      </c>
      <c r="W59" s="31">
        <v>96.68</v>
      </c>
      <c r="X59" s="31">
        <v>3.28</v>
      </c>
      <c r="Y59" s="31">
        <v>2.58</v>
      </c>
      <c r="Z59" s="31">
        <v>2.0299999999999998</v>
      </c>
      <c r="AA59" s="34">
        <v>3.28</v>
      </c>
      <c r="AB59" s="31">
        <v>2.73</v>
      </c>
      <c r="AC59" s="32">
        <v>1.6314</v>
      </c>
      <c r="AD59" s="33">
        <v>9.5100000000000004E-2</v>
      </c>
      <c r="AE59" s="33">
        <v>0.10680000000000001</v>
      </c>
      <c r="AF59" s="33">
        <v>0.14660000000000001</v>
      </c>
      <c r="AG59" s="33">
        <v>0.1552</v>
      </c>
      <c r="AH59" s="33">
        <v>0.16420000000000001</v>
      </c>
      <c r="AI59" s="32">
        <v>1.5508</v>
      </c>
      <c r="AJ59" s="33">
        <v>0.1007</v>
      </c>
      <c r="AK59" s="33">
        <v>0.11260000000000001</v>
      </c>
      <c r="AL59" s="33">
        <v>0.15609999999999999</v>
      </c>
      <c r="AM59" s="33">
        <v>0.16489999999999999</v>
      </c>
      <c r="AN59" s="33">
        <v>0.1477</v>
      </c>
      <c r="AO59" s="2"/>
      <c r="AP59" s="22"/>
    </row>
    <row r="60" spans="1:42">
      <c r="A60" s="29" t="s">
        <v>103</v>
      </c>
      <c r="B60" s="10">
        <v>2</v>
      </c>
      <c r="C60" s="29" t="s">
        <v>86</v>
      </c>
      <c r="D60" s="30">
        <v>598807.5</v>
      </c>
      <c r="E60" s="30">
        <v>5853712.7000000002</v>
      </c>
      <c r="F60" s="31">
        <v>24.4</v>
      </c>
      <c r="H60" s="29" t="s">
        <v>113</v>
      </c>
      <c r="I60" s="27" t="s">
        <v>60</v>
      </c>
      <c r="J60" s="31">
        <v>2.0699999999999998</v>
      </c>
      <c r="K60" s="31">
        <v>3</v>
      </c>
      <c r="L60" s="17">
        <f>F60+J60</f>
        <v>26.47</v>
      </c>
      <c r="M60" s="16">
        <f>F60+K60</f>
        <v>27.4</v>
      </c>
      <c r="N60" s="12">
        <f>(L60+M60)/2</f>
        <v>26.934999999999999</v>
      </c>
      <c r="O60" s="11">
        <f>ROUND(N60,0)</f>
        <v>27</v>
      </c>
      <c r="P60" s="13">
        <v>2</v>
      </c>
      <c r="Q60" s="13">
        <f>K60</f>
        <v>3</v>
      </c>
      <c r="R60" s="13">
        <f>P60+F60</f>
        <v>26.4</v>
      </c>
      <c r="S60" s="13">
        <f>F60+Q60</f>
        <v>27.4</v>
      </c>
      <c r="T60" s="13">
        <f>(R60+S60)/2</f>
        <v>26.9</v>
      </c>
      <c r="U60" s="14">
        <f>ROUND(T60,0)</f>
        <v>27</v>
      </c>
      <c r="V60" s="34">
        <v>0</v>
      </c>
      <c r="W60" s="31">
        <v>97.04</v>
      </c>
      <c r="X60" s="31">
        <v>2.96</v>
      </c>
      <c r="Y60" s="31">
        <v>2.42</v>
      </c>
      <c r="Z60" s="31">
        <v>1.84</v>
      </c>
      <c r="AA60" s="34">
        <v>2.96</v>
      </c>
      <c r="AB60" s="31">
        <v>2.38</v>
      </c>
      <c r="AC60" s="32">
        <v>1.5976999999999999</v>
      </c>
      <c r="AD60" s="33">
        <v>9.7799999999999998E-2</v>
      </c>
      <c r="AE60" s="33">
        <v>0.1119</v>
      </c>
      <c r="AF60" s="33">
        <v>0.14799999999999999</v>
      </c>
      <c r="AG60" s="33">
        <v>0.15629999999999999</v>
      </c>
      <c r="AH60" s="33">
        <v>0.16500000000000001</v>
      </c>
      <c r="AI60" s="32">
        <v>1.516</v>
      </c>
      <c r="AJ60" s="33">
        <v>0.1036</v>
      </c>
      <c r="AK60" s="33">
        <v>0.1182</v>
      </c>
      <c r="AL60" s="33">
        <v>0.15709999999999999</v>
      </c>
      <c r="AM60" s="33">
        <v>0.16569999999999999</v>
      </c>
      <c r="AN60" s="33">
        <v>0.1489</v>
      </c>
      <c r="AO60" s="2"/>
      <c r="AP60" s="22"/>
    </row>
    <row r="61" spans="1:42">
      <c r="A61" s="29" t="s">
        <v>103</v>
      </c>
      <c r="B61" s="10">
        <v>2</v>
      </c>
      <c r="C61" s="29" t="s">
        <v>86</v>
      </c>
      <c r="D61" s="30">
        <v>598807.5</v>
      </c>
      <c r="E61" s="30">
        <v>5853712.7000000002</v>
      </c>
      <c r="F61" s="31">
        <v>24.4</v>
      </c>
      <c r="H61" s="29" t="s">
        <v>116</v>
      </c>
      <c r="I61" s="27" t="s">
        <v>61</v>
      </c>
      <c r="J61" s="31">
        <v>3.05</v>
      </c>
      <c r="K61" s="31">
        <v>4</v>
      </c>
      <c r="L61" s="17">
        <f>F61+J61</f>
        <v>27.45</v>
      </c>
      <c r="M61" s="16">
        <f>F61+K61</f>
        <v>28.4</v>
      </c>
      <c r="N61" s="12">
        <f>(L61+M61)/2</f>
        <v>27.924999999999997</v>
      </c>
      <c r="O61" s="11">
        <f>ROUND(N61,0)</f>
        <v>28</v>
      </c>
      <c r="P61" s="13">
        <v>3</v>
      </c>
      <c r="Q61" s="13">
        <v>4.5199999999999996</v>
      </c>
      <c r="R61" s="13">
        <f>P61+F61</f>
        <v>27.4</v>
      </c>
      <c r="S61" s="13">
        <f>F61+Q61</f>
        <v>28.919999999999998</v>
      </c>
      <c r="T61" s="13">
        <f>(R61+S61)/2</f>
        <v>28.159999999999997</v>
      </c>
      <c r="U61" s="14">
        <f>ROUND(T61,0)</f>
        <v>28</v>
      </c>
      <c r="V61" s="34">
        <v>0</v>
      </c>
      <c r="W61" s="31">
        <v>96.05</v>
      </c>
      <c r="X61" s="31">
        <v>3.95</v>
      </c>
      <c r="Y61" s="31">
        <v>3.11</v>
      </c>
      <c r="Z61" s="31">
        <v>2.57</v>
      </c>
      <c r="AA61" s="34">
        <v>3.95</v>
      </c>
      <c r="AB61" s="31">
        <v>3.41</v>
      </c>
      <c r="AC61" s="32">
        <v>1.7107000000000001</v>
      </c>
      <c r="AD61" s="33">
        <v>9.2499999999999999E-2</v>
      </c>
      <c r="AE61" s="33">
        <v>0.10730000000000001</v>
      </c>
      <c r="AF61" s="33">
        <v>0.1492</v>
      </c>
      <c r="AG61" s="33">
        <v>0.1583</v>
      </c>
      <c r="AH61" s="33">
        <v>0.16789999999999999</v>
      </c>
      <c r="AI61" s="32">
        <v>1.5749</v>
      </c>
      <c r="AJ61" s="33">
        <v>0.1013</v>
      </c>
      <c r="AK61" s="33">
        <v>0.1169</v>
      </c>
      <c r="AL61" s="33">
        <v>0.15959999999999999</v>
      </c>
      <c r="AM61" s="33">
        <v>0.16900000000000001</v>
      </c>
      <c r="AN61" s="33">
        <v>0.1507</v>
      </c>
      <c r="AP61" s="22"/>
    </row>
    <row r="62" spans="1:42">
      <c r="A62" s="29" t="s">
        <v>103</v>
      </c>
      <c r="B62" s="10">
        <v>2</v>
      </c>
      <c r="C62" s="29" t="s">
        <v>86</v>
      </c>
      <c r="D62" s="30">
        <v>598807.5</v>
      </c>
      <c r="E62" s="30">
        <v>5853712.7000000002</v>
      </c>
      <c r="F62" s="31">
        <v>24.4</v>
      </c>
      <c r="H62" s="29" t="s">
        <v>117</v>
      </c>
      <c r="I62" s="27" t="s">
        <v>62</v>
      </c>
      <c r="J62" s="31">
        <v>4.5199999999999996</v>
      </c>
      <c r="K62" s="31">
        <v>5</v>
      </c>
      <c r="L62" s="17">
        <f>F62+J62</f>
        <v>28.919999999999998</v>
      </c>
      <c r="M62" s="16">
        <f>F62+K62</f>
        <v>29.4</v>
      </c>
      <c r="N62" s="12">
        <f>(L62+M62)/2</f>
        <v>29.159999999999997</v>
      </c>
      <c r="O62" s="11">
        <f>ROUND(N62,0)</f>
        <v>29</v>
      </c>
      <c r="P62" s="13">
        <f>J62</f>
        <v>4.5199999999999996</v>
      </c>
      <c r="Q62" s="13">
        <v>5.55</v>
      </c>
      <c r="R62" s="13">
        <f>P62+F62</f>
        <v>28.919999999999998</v>
      </c>
      <c r="S62" s="13">
        <f>F62+Q62</f>
        <v>29.95</v>
      </c>
      <c r="T62" s="13">
        <f>(R62+S62)/2</f>
        <v>29.434999999999999</v>
      </c>
      <c r="U62" s="14">
        <f>ROUND(T62,0)</f>
        <v>29</v>
      </c>
      <c r="V62" s="34">
        <v>0.56999999999999995</v>
      </c>
      <c r="W62" s="31">
        <v>98.18</v>
      </c>
      <c r="X62" s="31">
        <v>1.25</v>
      </c>
      <c r="Y62" s="31">
        <v>1.07</v>
      </c>
      <c r="Z62" s="31">
        <v>0.81</v>
      </c>
      <c r="AA62" s="34">
        <v>1.25</v>
      </c>
      <c r="AB62" s="31">
        <v>0.99</v>
      </c>
      <c r="AC62" s="32">
        <v>2.9548999999999999</v>
      </c>
      <c r="AD62" s="33">
        <v>0.1537</v>
      </c>
      <c r="AE62" s="33">
        <v>0.1913</v>
      </c>
      <c r="AF62" s="33">
        <v>0.4088</v>
      </c>
      <c r="AG62" s="33">
        <v>0.45419999999999999</v>
      </c>
      <c r="AH62" s="33">
        <v>0.50819999999999999</v>
      </c>
      <c r="AI62" s="32">
        <v>2.8597000000000001</v>
      </c>
      <c r="AJ62" s="33">
        <v>0.15890000000000001</v>
      </c>
      <c r="AK62" s="33">
        <v>0.2</v>
      </c>
      <c r="AL62" s="33">
        <v>0.45450000000000002</v>
      </c>
      <c r="AM62" s="33">
        <v>0.50719999999999998</v>
      </c>
      <c r="AN62" s="33">
        <v>0.40970000000000001</v>
      </c>
      <c r="AO62" s="2"/>
      <c r="AP62" s="22"/>
    </row>
    <row r="63" spans="1:42">
      <c r="A63" s="29" t="s">
        <v>104</v>
      </c>
      <c r="B63" s="10">
        <v>2</v>
      </c>
      <c r="C63" s="29" t="s">
        <v>87</v>
      </c>
      <c r="D63" s="30">
        <v>597974</v>
      </c>
      <c r="E63" s="30">
        <v>5851474</v>
      </c>
      <c r="F63" s="31">
        <v>24.2</v>
      </c>
      <c r="G63" s="24"/>
      <c r="H63" s="29" t="s">
        <v>111</v>
      </c>
      <c r="I63" s="27" t="s">
        <v>65</v>
      </c>
      <c r="J63" s="31">
        <v>0.13</v>
      </c>
      <c r="K63" s="31">
        <v>0.6</v>
      </c>
      <c r="L63" s="17">
        <f>F63+J63</f>
        <v>24.33</v>
      </c>
      <c r="M63" s="16">
        <f>F63+K63</f>
        <v>24.8</v>
      </c>
      <c r="N63" s="12">
        <f>(L63+M63)/2</f>
        <v>24.564999999999998</v>
      </c>
      <c r="O63" s="11">
        <f>ROUND(N63,0)</f>
        <v>25</v>
      </c>
      <c r="P63" s="13">
        <v>0</v>
      </c>
      <c r="Q63" s="13">
        <f>K63</f>
        <v>0.6</v>
      </c>
      <c r="R63" s="13">
        <f>P63+F63</f>
        <v>24.2</v>
      </c>
      <c r="S63" s="13">
        <f>F63+Q63</f>
        <v>24.8</v>
      </c>
      <c r="T63" s="13">
        <f>(R63+S63)/2</f>
        <v>24.5</v>
      </c>
      <c r="U63" s="14">
        <f>ROUND(T63,0)</f>
        <v>25</v>
      </c>
      <c r="V63" s="34">
        <v>0.15</v>
      </c>
      <c r="W63" s="31">
        <v>98.79</v>
      </c>
      <c r="X63" s="31">
        <v>1.05</v>
      </c>
      <c r="Y63" s="31">
        <v>0.82</v>
      </c>
      <c r="Z63" s="31">
        <v>0.48</v>
      </c>
      <c r="AA63" s="34">
        <v>1.05</v>
      </c>
      <c r="AB63" s="31">
        <v>0.71</v>
      </c>
      <c r="AC63" s="32">
        <v>1.5786</v>
      </c>
      <c r="AD63" s="33">
        <v>0.14580000000000001</v>
      </c>
      <c r="AE63" s="33">
        <v>0.16170000000000001</v>
      </c>
      <c r="AF63" s="33">
        <v>0.21640000000000001</v>
      </c>
      <c r="AG63" s="33">
        <v>0.23019999999999999</v>
      </c>
      <c r="AH63" s="33">
        <v>0.24490000000000001</v>
      </c>
      <c r="AI63" s="32">
        <v>1.5602</v>
      </c>
      <c r="AJ63" s="33">
        <v>0.1477</v>
      </c>
      <c r="AK63" s="33">
        <v>0.16370000000000001</v>
      </c>
      <c r="AL63" s="33">
        <v>0.23050000000000001</v>
      </c>
      <c r="AM63" s="33">
        <v>0.245</v>
      </c>
      <c r="AN63" s="33">
        <v>0.21679999999999999</v>
      </c>
      <c r="AP63" s="22"/>
    </row>
    <row r="64" spans="1:42">
      <c r="A64" s="29" t="s">
        <v>104</v>
      </c>
      <c r="B64" s="10">
        <v>2</v>
      </c>
      <c r="C64" s="29" t="s">
        <v>87</v>
      </c>
      <c r="D64" s="30">
        <v>597974</v>
      </c>
      <c r="E64" s="30">
        <v>5851474</v>
      </c>
      <c r="F64" s="31">
        <v>24.2</v>
      </c>
      <c r="G64" s="16"/>
      <c r="H64" s="29" t="s">
        <v>111</v>
      </c>
      <c r="I64" s="27" t="s">
        <v>58</v>
      </c>
      <c r="J64" s="31">
        <v>0.6</v>
      </c>
      <c r="K64" s="31">
        <v>1</v>
      </c>
      <c r="L64" s="17">
        <f>F64+J64</f>
        <v>24.8</v>
      </c>
      <c r="M64" s="16">
        <f>F64+K64</f>
        <v>25.2</v>
      </c>
      <c r="N64" s="12">
        <f>(L64+M64)/2</f>
        <v>25</v>
      </c>
      <c r="O64" s="11">
        <f>ROUND(N64,0)</f>
        <v>25</v>
      </c>
      <c r="P64" s="13">
        <f>J64</f>
        <v>0.6</v>
      </c>
      <c r="Q64" s="13">
        <f>K64</f>
        <v>1</v>
      </c>
      <c r="R64" s="13">
        <f>P64+F64</f>
        <v>24.8</v>
      </c>
      <c r="S64" s="13">
        <f>F64+Q64</f>
        <v>25.2</v>
      </c>
      <c r="T64" s="13">
        <f>(R64+S64)/2</f>
        <v>25</v>
      </c>
      <c r="U64" s="14">
        <f>ROUND(T64,0)</f>
        <v>25</v>
      </c>
      <c r="V64" s="34">
        <v>0.22</v>
      </c>
      <c r="W64" s="31">
        <v>98.28</v>
      </c>
      <c r="X64" s="31">
        <v>1.5</v>
      </c>
      <c r="Y64" s="31">
        <v>1.28</v>
      </c>
      <c r="Z64" s="31">
        <v>0.72</v>
      </c>
      <c r="AA64" s="34">
        <v>1.5</v>
      </c>
      <c r="AB64" s="31">
        <v>0.95</v>
      </c>
      <c r="AC64" s="32">
        <v>1.5531999999999999</v>
      </c>
      <c r="AD64" s="33">
        <v>0.14530000000000001</v>
      </c>
      <c r="AE64" s="33">
        <v>0.16120000000000001</v>
      </c>
      <c r="AF64" s="33">
        <v>0.2132</v>
      </c>
      <c r="AG64" s="33">
        <v>0.22570000000000001</v>
      </c>
      <c r="AH64" s="33">
        <v>0.2389</v>
      </c>
      <c r="AI64" s="32">
        <v>1.5288999999999999</v>
      </c>
      <c r="AJ64" s="33">
        <v>0.14779999999999999</v>
      </c>
      <c r="AK64" s="33">
        <v>0.1638</v>
      </c>
      <c r="AL64" s="33">
        <v>0.22600000000000001</v>
      </c>
      <c r="AM64" s="33">
        <v>0.23910000000000001</v>
      </c>
      <c r="AN64" s="33">
        <v>0.21360000000000001</v>
      </c>
      <c r="AP64" s="22"/>
    </row>
    <row r="65" spans="1:42">
      <c r="A65" s="29" t="s">
        <v>104</v>
      </c>
      <c r="B65" s="10">
        <v>2</v>
      </c>
      <c r="C65" s="29" t="s">
        <v>87</v>
      </c>
      <c r="D65" s="30">
        <v>597974</v>
      </c>
      <c r="E65" s="30">
        <v>5851474</v>
      </c>
      <c r="F65" s="31">
        <v>24.2</v>
      </c>
      <c r="G65" s="16"/>
      <c r="H65" s="29" t="s">
        <v>112</v>
      </c>
      <c r="I65" s="27" t="s">
        <v>59</v>
      </c>
      <c r="J65" s="31">
        <v>1.61</v>
      </c>
      <c r="K65" s="31">
        <v>2</v>
      </c>
      <c r="L65" s="17">
        <f>F65+J65</f>
        <v>25.81</v>
      </c>
      <c r="M65" s="16">
        <f>F65+K65</f>
        <v>26.2</v>
      </c>
      <c r="N65" s="12">
        <f>(L65+M65)/2</f>
        <v>26.004999999999999</v>
      </c>
      <c r="O65" s="11">
        <f>ROUND(N65,0)</f>
        <v>26</v>
      </c>
      <c r="P65" s="13">
        <f>J65</f>
        <v>1.61</v>
      </c>
      <c r="Q65" s="13">
        <f>K65</f>
        <v>2</v>
      </c>
      <c r="R65" s="13">
        <f>P65+F65</f>
        <v>25.81</v>
      </c>
      <c r="S65" s="13">
        <f>F65+Q65</f>
        <v>26.2</v>
      </c>
      <c r="T65" s="13">
        <f>(R65+S65)/2</f>
        <v>26.004999999999999</v>
      </c>
      <c r="U65" s="14">
        <f>ROUND(T65,0)</f>
        <v>26</v>
      </c>
      <c r="V65" s="34">
        <v>0.77</v>
      </c>
      <c r="W65" s="31">
        <v>97.94</v>
      </c>
      <c r="X65" s="31">
        <v>1.29</v>
      </c>
      <c r="Y65" s="31">
        <v>1.1499999999999999</v>
      </c>
      <c r="Z65" s="31">
        <v>0.64</v>
      </c>
      <c r="AA65" s="34">
        <v>1.29</v>
      </c>
      <c r="AB65" s="31">
        <v>0.78</v>
      </c>
      <c r="AC65" s="32">
        <v>1.6336999999999999</v>
      </c>
      <c r="AD65" s="33">
        <v>0.13800000000000001</v>
      </c>
      <c r="AE65" s="33">
        <v>0.14799999999999999</v>
      </c>
      <c r="AF65" s="33">
        <v>0.2097</v>
      </c>
      <c r="AG65" s="33">
        <v>0.22539999999999999</v>
      </c>
      <c r="AH65" s="33">
        <v>0.2424</v>
      </c>
      <c r="AI65" s="32">
        <v>1.6175999999999999</v>
      </c>
      <c r="AJ65" s="33">
        <v>0.13919999999999999</v>
      </c>
      <c r="AK65" s="33">
        <v>0.1492</v>
      </c>
      <c r="AL65" s="33">
        <v>0.22520000000000001</v>
      </c>
      <c r="AM65" s="33">
        <v>0.24179999999999999</v>
      </c>
      <c r="AN65" s="33">
        <v>0.2097</v>
      </c>
      <c r="AP65" s="22"/>
    </row>
    <row r="66" spans="1:42">
      <c r="A66" s="29" t="s">
        <v>104</v>
      </c>
      <c r="B66" s="10">
        <v>2</v>
      </c>
      <c r="C66" s="29" t="s">
        <v>87</v>
      </c>
      <c r="D66" s="30">
        <v>597974</v>
      </c>
      <c r="E66" s="30">
        <v>5851474</v>
      </c>
      <c r="F66" s="31">
        <v>24.2</v>
      </c>
      <c r="H66" s="29" t="s">
        <v>113</v>
      </c>
      <c r="I66" s="27" t="s">
        <v>60</v>
      </c>
      <c r="J66" s="31">
        <v>2.15</v>
      </c>
      <c r="K66" s="31">
        <v>3</v>
      </c>
      <c r="L66" s="17">
        <f>F66+J66</f>
        <v>26.349999999999998</v>
      </c>
      <c r="M66" s="16">
        <f>F66+K66</f>
        <v>27.2</v>
      </c>
      <c r="N66" s="12">
        <f>(L66+M66)/2</f>
        <v>26.774999999999999</v>
      </c>
      <c r="O66" s="11">
        <f>ROUND(N66,0)</f>
        <v>27</v>
      </c>
      <c r="P66" s="13">
        <v>2</v>
      </c>
      <c r="Q66" s="13">
        <f>K66</f>
        <v>3</v>
      </c>
      <c r="R66" s="13">
        <f>P66+F66</f>
        <v>26.2</v>
      </c>
      <c r="S66" s="13">
        <f>F66+Q66</f>
        <v>27.2</v>
      </c>
      <c r="T66" s="13">
        <f>(R66+S66)/2</f>
        <v>26.7</v>
      </c>
      <c r="U66" s="14">
        <f>ROUND(T66,0)</f>
        <v>27</v>
      </c>
      <c r="V66" s="34">
        <v>0.05</v>
      </c>
      <c r="W66" s="31">
        <v>99.16</v>
      </c>
      <c r="X66" s="31">
        <v>0.78</v>
      </c>
      <c r="Y66" s="31">
        <v>0.62</v>
      </c>
      <c r="Z66" s="31">
        <v>0.41</v>
      </c>
      <c r="AA66" s="34">
        <v>0.78</v>
      </c>
      <c r="AB66" s="31">
        <v>0.56999999999999995</v>
      </c>
      <c r="AC66" s="32">
        <v>2.056</v>
      </c>
      <c r="AD66" s="33">
        <v>0.14449999999999999</v>
      </c>
      <c r="AE66" s="33">
        <v>0.1636</v>
      </c>
      <c r="AF66" s="33">
        <v>0.27410000000000001</v>
      </c>
      <c r="AG66" s="33">
        <v>0.29699999999999999</v>
      </c>
      <c r="AH66" s="33">
        <v>0.32190000000000002</v>
      </c>
      <c r="AI66" s="32">
        <v>2.0333999999999999</v>
      </c>
      <c r="AJ66" s="33">
        <v>0.14630000000000001</v>
      </c>
      <c r="AK66" s="33">
        <v>0.16550000000000001</v>
      </c>
      <c r="AL66" s="33">
        <v>0.29749999999999999</v>
      </c>
      <c r="AM66" s="33">
        <v>0.32229999999999998</v>
      </c>
      <c r="AN66" s="33">
        <v>0.2747</v>
      </c>
      <c r="AP66" s="22"/>
    </row>
    <row r="67" spans="1:42">
      <c r="A67" s="29" t="s">
        <v>104</v>
      </c>
      <c r="B67" s="10">
        <v>2</v>
      </c>
      <c r="C67" s="29" t="s">
        <v>87</v>
      </c>
      <c r="D67" s="30">
        <v>597974</v>
      </c>
      <c r="E67" s="30">
        <v>5851474</v>
      </c>
      <c r="F67" s="31">
        <v>24.2</v>
      </c>
      <c r="H67" s="29" t="s">
        <v>116</v>
      </c>
      <c r="I67" s="27" t="s">
        <v>63</v>
      </c>
      <c r="J67" s="31">
        <v>3</v>
      </c>
      <c r="K67" s="31">
        <v>4</v>
      </c>
      <c r="L67" s="17">
        <f>F67+J67</f>
        <v>27.2</v>
      </c>
      <c r="M67" s="16">
        <f>F67+K67</f>
        <v>28.2</v>
      </c>
      <c r="N67" s="12">
        <f>(L67+M67)/2</f>
        <v>27.7</v>
      </c>
      <c r="O67" s="11">
        <f>ROUND(N67,0)</f>
        <v>28</v>
      </c>
      <c r="P67" s="13">
        <f>J67</f>
        <v>3</v>
      </c>
      <c r="Q67" s="13">
        <f>K67</f>
        <v>4</v>
      </c>
      <c r="R67" s="13">
        <f>P67+F67</f>
        <v>27.2</v>
      </c>
      <c r="S67" s="13">
        <f>F67+Q67</f>
        <v>28.2</v>
      </c>
      <c r="T67" s="13">
        <f>(R67+S67)/2</f>
        <v>27.7</v>
      </c>
      <c r="U67" s="14">
        <f>ROUND(T67,0)</f>
        <v>28</v>
      </c>
      <c r="V67" s="34">
        <v>0</v>
      </c>
      <c r="W67" s="31">
        <v>99.23</v>
      </c>
      <c r="X67" s="31">
        <v>0.77</v>
      </c>
      <c r="Y67" s="31">
        <v>0.55000000000000004</v>
      </c>
      <c r="Z67" s="31">
        <v>0.3</v>
      </c>
      <c r="AA67" s="34">
        <v>0.77</v>
      </c>
      <c r="AB67" s="31">
        <v>0.52</v>
      </c>
      <c r="AC67" s="32">
        <v>1.8487</v>
      </c>
      <c r="AD67" s="33">
        <v>0.1633</v>
      </c>
      <c r="AE67" s="33">
        <v>0.18820000000000001</v>
      </c>
      <c r="AF67" s="33">
        <v>0.2833</v>
      </c>
      <c r="AG67" s="33">
        <v>0.3019</v>
      </c>
      <c r="AH67" s="33">
        <v>0.32169999999999999</v>
      </c>
      <c r="AI67" s="32">
        <v>1.819</v>
      </c>
      <c r="AJ67" s="33">
        <v>0.16619999999999999</v>
      </c>
      <c r="AK67" s="33">
        <v>0.1898</v>
      </c>
      <c r="AL67" s="33">
        <v>0.30230000000000001</v>
      </c>
      <c r="AM67" s="33">
        <v>0.32200000000000001</v>
      </c>
      <c r="AN67" s="33">
        <v>0.2838</v>
      </c>
      <c r="AP67" s="22"/>
    </row>
    <row r="68" spans="1:42">
      <c r="A68" s="29" t="s">
        <v>104</v>
      </c>
      <c r="B68" s="10">
        <v>2</v>
      </c>
      <c r="C68" s="29" t="s">
        <v>87</v>
      </c>
      <c r="D68" s="30">
        <v>597974</v>
      </c>
      <c r="E68" s="30">
        <v>5851474</v>
      </c>
      <c r="F68" s="31">
        <v>24.2</v>
      </c>
      <c r="H68" s="29" t="s">
        <v>115</v>
      </c>
      <c r="I68" s="27" t="s">
        <v>62</v>
      </c>
      <c r="J68" s="31">
        <v>5</v>
      </c>
      <c r="K68" s="31">
        <v>5.4</v>
      </c>
      <c r="L68" s="17">
        <f>F68+J68</f>
        <v>29.2</v>
      </c>
      <c r="M68" s="16">
        <f>F68+K68</f>
        <v>29.6</v>
      </c>
      <c r="N68" s="12">
        <f>(L68+M68)/2</f>
        <v>29.4</v>
      </c>
      <c r="O68" s="11">
        <f>ROUND(N68,0)</f>
        <v>29</v>
      </c>
      <c r="P68" s="13">
        <v>4</v>
      </c>
      <c r="Q68" s="13">
        <f>K68</f>
        <v>5.4</v>
      </c>
      <c r="R68" s="13">
        <f>P68+F68</f>
        <v>28.2</v>
      </c>
      <c r="S68" s="13">
        <f>F68+Q68</f>
        <v>29.6</v>
      </c>
      <c r="T68" s="13">
        <f>(R68+S68)/2</f>
        <v>28.9</v>
      </c>
      <c r="U68" s="14">
        <f>ROUND(T68,0)</f>
        <v>29</v>
      </c>
      <c r="V68" s="34">
        <v>0</v>
      </c>
      <c r="W68" s="31">
        <v>98.43</v>
      </c>
      <c r="X68" s="31">
        <v>1.57</v>
      </c>
      <c r="Y68" s="31">
        <v>1.26</v>
      </c>
      <c r="Z68" s="31">
        <v>0.64</v>
      </c>
      <c r="AA68" s="34">
        <v>1.57</v>
      </c>
      <c r="AB68" s="31">
        <v>0.95</v>
      </c>
      <c r="AC68" s="32">
        <v>1.3443000000000001</v>
      </c>
      <c r="AD68" s="33">
        <v>0.1245</v>
      </c>
      <c r="AE68" s="33">
        <v>0.12859999999999999</v>
      </c>
      <c r="AF68" s="33">
        <v>0.15790000000000001</v>
      </c>
      <c r="AG68" s="33">
        <v>0.16739999999999999</v>
      </c>
      <c r="AH68" s="33">
        <v>0.17749999999999999</v>
      </c>
      <c r="AI68" s="32">
        <v>1.3361000000000001</v>
      </c>
      <c r="AJ68" s="33">
        <v>0.12559999999999999</v>
      </c>
      <c r="AK68" s="33">
        <v>0.1293</v>
      </c>
      <c r="AL68" s="33">
        <v>0.1678</v>
      </c>
      <c r="AM68" s="33">
        <v>0.17780000000000001</v>
      </c>
      <c r="AN68" s="33">
        <v>0.1583</v>
      </c>
      <c r="AO68" s="2"/>
      <c r="AP68" s="22"/>
    </row>
    <row r="69" spans="1:42">
      <c r="A69" s="29" t="s">
        <v>105</v>
      </c>
      <c r="B69" s="10">
        <v>2</v>
      </c>
      <c r="C69" s="29" t="s">
        <v>88</v>
      </c>
      <c r="D69" s="30">
        <v>598263.19999999995</v>
      </c>
      <c r="E69" s="30">
        <v>5851444.4000000004</v>
      </c>
      <c r="F69" s="31">
        <v>24</v>
      </c>
      <c r="H69" s="29" t="s">
        <v>111</v>
      </c>
      <c r="I69" s="27" t="s">
        <v>65</v>
      </c>
      <c r="J69" s="31">
        <v>0.1</v>
      </c>
      <c r="K69" s="31">
        <v>0.5</v>
      </c>
      <c r="L69" s="17">
        <f>F69+J69</f>
        <v>24.1</v>
      </c>
      <c r="M69" s="16">
        <f>F69+K69</f>
        <v>24.5</v>
      </c>
      <c r="N69" s="12">
        <f>(L69+M69)/2</f>
        <v>24.3</v>
      </c>
      <c r="O69" s="11">
        <f>ROUND(N69,0)</f>
        <v>24</v>
      </c>
      <c r="P69" s="13">
        <v>0</v>
      </c>
      <c r="Q69" s="13">
        <f>K69</f>
        <v>0.5</v>
      </c>
      <c r="R69" s="13">
        <f>P69+F69</f>
        <v>24</v>
      </c>
      <c r="S69" s="13">
        <f>F69+Q69</f>
        <v>24.5</v>
      </c>
      <c r="T69" s="13">
        <f>(R69+S69)/2</f>
        <v>24.25</v>
      </c>
      <c r="U69" s="14">
        <f>ROUND(T69,0)</f>
        <v>24</v>
      </c>
      <c r="V69" s="34">
        <v>0.55000000000000004</v>
      </c>
      <c r="W69" s="31">
        <v>98.58</v>
      </c>
      <c r="X69" s="31">
        <v>0.87</v>
      </c>
      <c r="Y69" s="31">
        <v>0.56999999999999995</v>
      </c>
      <c r="Z69" s="31">
        <v>0.38</v>
      </c>
      <c r="AA69" s="34">
        <v>0.87</v>
      </c>
      <c r="AB69" s="31">
        <v>0.68</v>
      </c>
      <c r="AC69" s="32">
        <v>1.9490000000000001</v>
      </c>
      <c r="AD69" s="33">
        <v>0.14799999999999999</v>
      </c>
      <c r="AE69" s="33">
        <v>0.1666</v>
      </c>
      <c r="AF69" s="33">
        <v>0.25700000000000001</v>
      </c>
      <c r="AG69" s="33">
        <v>0.28839999999999999</v>
      </c>
      <c r="AH69" s="33">
        <v>0.32369999999999999</v>
      </c>
      <c r="AI69" s="32">
        <v>1.9220999999999999</v>
      </c>
      <c r="AJ69" s="33">
        <v>0.15</v>
      </c>
      <c r="AK69" s="33">
        <v>0.1686</v>
      </c>
      <c r="AL69" s="33">
        <v>0.28820000000000001</v>
      </c>
      <c r="AM69" s="33">
        <v>0.32300000000000001</v>
      </c>
      <c r="AN69" s="33">
        <v>0.25719999999999998</v>
      </c>
    </row>
    <row r="70" spans="1:42">
      <c r="A70" s="29" t="s">
        <v>105</v>
      </c>
      <c r="B70" s="10">
        <v>2</v>
      </c>
      <c r="C70" s="29" t="s">
        <v>88</v>
      </c>
      <c r="D70" s="30">
        <v>598263.19999999995</v>
      </c>
      <c r="E70" s="30">
        <v>5851444.4000000004</v>
      </c>
      <c r="F70" s="31">
        <v>24</v>
      </c>
      <c r="G70" s="16"/>
      <c r="H70" s="29" t="s">
        <v>111</v>
      </c>
      <c r="I70" s="27" t="s">
        <v>58</v>
      </c>
      <c r="J70" s="31">
        <v>0.5</v>
      </c>
      <c r="K70" s="31">
        <v>1</v>
      </c>
      <c r="L70" s="17">
        <f>F70+J70</f>
        <v>24.5</v>
      </c>
      <c r="M70" s="16">
        <f>F70+K70</f>
        <v>25</v>
      </c>
      <c r="N70" s="12">
        <f>(L70+M70)/2</f>
        <v>24.75</v>
      </c>
      <c r="O70" s="11">
        <f>ROUND(N70,0)</f>
        <v>25</v>
      </c>
      <c r="P70" s="13">
        <f>J70</f>
        <v>0.5</v>
      </c>
      <c r="Q70" s="13">
        <f>K70</f>
        <v>1</v>
      </c>
      <c r="R70" s="13">
        <f>P70+F70</f>
        <v>24.5</v>
      </c>
      <c r="S70" s="13">
        <f>F70+Q70</f>
        <v>25</v>
      </c>
      <c r="T70" s="13">
        <f>(R70+S70)/2</f>
        <v>24.75</v>
      </c>
      <c r="U70" s="14">
        <f>ROUND(T70,0)</f>
        <v>25</v>
      </c>
      <c r="V70" s="34">
        <v>0.3</v>
      </c>
      <c r="W70" s="31">
        <v>98.4</v>
      </c>
      <c r="X70" s="31">
        <v>1.3</v>
      </c>
      <c r="Y70" s="31">
        <v>1</v>
      </c>
      <c r="Z70" s="31">
        <v>0.49</v>
      </c>
      <c r="AA70" s="34">
        <v>1.3</v>
      </c>
      <c r="AB70" s="31">
        <v>0.79</v>
      </c>
      <c r="AC70" s="32">
        <v>1.899</v>
      </c>
      <c r="AD70" s="33">
        <v>0.14760000000000001</v>
      </c>
      <c r="AE70" s="33">
        <v>0.16619999999999999</v>
      </c>
      <c r="AF70" s="33">
        <v>0.24959999999999999</v>
      </c>
      <c r="AG70" s="33">
        <v>0.28029999999999999</v>
      </c>
      <c r="AH70" s="33">
        <v>0.31490000000000001</v>
      </c>
      <c r="AI70" s="32">
        <v>1.8714999999999999</v>
      </c>
      <c r="AJ70" s="33">
        <v>0.15</v>
      </c>
      <c r="AK70" s="33">
        <v>0.16869999999999999</v>
      </c>
      <c r="AL70" s="33">
        <v>0.28079999999999999</v>
      </c>
      <c r="AM70" s="33">
        <v>0.315</v>
      </c>
      <c r="AN70" s="33">
        <v>0.25030000000000002</v>
      </c>
    </row>
    <row r="71" spans="1:42">
      <c r="A71" s="29" t="s">
        <v>105</v>
      </c>
      <c r="B71" s="10">
        <v>2</v>
      </c>
      <c r="C71" s="29" t="s">
        <v>88</v>
      </c>
      <c r="D71" s="30">
        <v>598263.19999999995</v>
      </c>
      <c r="E71" s="30">
        <v>5851444.4000000004</v>
      </c>
      <c r="F71" s="31">
        <v>24</v>
      </c>
      <c r="H71" s="29" t="s">
        <v>112</v>
      </c>
      <c r="I71" s="27" t="s">
        <v>59</v>
      </c>
      <c r="J71" s="31">
        <v>1.03</v>
      </c>
      <c r="K71" s="31">
        <v>1.5</v>
      </c>
      <c r="L71" s="17">
        <f>F71+J71</f>
        <v>25.03</v>
      </c>
      <c r="M71" s="16">
        <f>F71+K71</f>
        <v>25.5</v>
      </c>
      <c r="N71" s="12">
        <f>(L71+M71)/2</f>
        <v>25.265000000000001</v>
      </c>
      <c r="O71" s="11">
        <f>ROUND(N71,0)</f>
        <v>25</v>
      </c>
      <c r="P71" s="13">
        <v>1</v>
      </c>
      <c r="Q71" s="13">
        <f>K71</f>
        <v>1.5</v>
      </c>
      <c r="R71" s="13">
        <f>P71+F71</f>
        <v>25</v>
      </c>
      <c r="S71" s="13">
        <f>F71+Q71</f>
        <v>25.5</v>
      </c>
      <c r="T71" s="13">
        <f>(R71+S71)/2</f>
        <v>25.25</v>
      </c>
      <c r="U71" s="14">
        <f>ROUND(T71,0)</f>
        <v>25</v>
      </c>
      <c r="V71" s="34">
        <v>1.49</v>
      </c>
      <c r="W71" s="31">
        <v>97.76</v>
      </c>
      <c r="X71" s="31">
        <v>0.76</v>
      </c>
      <c r="Y71" s="31">
        <v>0.48</v>
      </c>
      <c r="Z71" s="31">
        <v>0.41</v>
      </c>
      <c r="AA71" s="34">
        <v>0.76</v>
      </c>
      <c r="AB71" s="31">
        <v>0.68</v>
      </c>
      <c r="AC71" s="32">
        <v>1.9339</v>
      </c>
      <c r="AD71" s="33">
        <v>0.14849999999999999</v>
      </c>
      <c r="AE71" s="33">
        <v>0.16800000000000001</v>
      </c>
      <c r="AF71" s="33">
        <v>0.25480000000000003</v>
      </c>
      <c r="AG71" s="33">
        <v>0.28710000000000002</v>
      </c>
      <c r="AH71" s="33">
        <v>0.3236</v>
      </c>
      <c r="AI71" s="32">
        <v>1.8976999999999999</v>
      </c>
      <c r="AJ71" s="33">
        <v>0.1502</v>
      </c>
      <c r="AK71" s="33">
        <v>0.16950000000000001</v>
      </c>
      <c r="AL71" s="33">
        <v>0.28499999999999998</v>
      </c>
      <c r="AM71" s="33">
        <v>0.32029999999999997</v>
      </c>
      <c r="AN71" s="33">
        <v>0.25359999999999999</v>
      </c>
    </row>
    <row r="72" spans="1:42">
      <c r="A72" s="29" t="s">
        <v>105</v>
      </c>
      <c r="B72" s="10">
        <v>2</v>
      </c>
      <c r="C72" s="29" t="s">
        <v>88</v>
      </c>
      <c r="D72" s="30">
        <v>598263.19999999995</v>
      </c>
      <c r="E72" s="30">
        <v>5851444.4000000004</v>
      </c>
      <c r="F72" s="31">
        <v>24</v>
      </c>
      <c r="G72" s="16"/>
      <c r="H72" s="29" t="s">
        <v>113</v>
      </c>
      <c r="I72" s="27" t="s">
        <v>60</v>
      </c>
      <c r="J72" s="31">
        <v>2.0299999999999998</v>
      </c>
      <c r="K72" s="31">
        <v>3</v>
      </c>
      <c r="L72" s="17">
        <f>F72+J72</f>
        <v>26.03</v>
      </c>
      <c r="M72" s="16">
        <f>F72+K72</f>
        <v>27</v>
      </c>
      <c r="N72" s="12">
        <f>(L72+M72)/2</f>
        <v>26.515000000000001</v>
      </c>
      <c r="O72" s="11">
        <f>ROUND(N72,0)</f>
        <v>27</v>
      </c>
      <c r="P72" s="13">
        <v>1.5</v>
      </c>
      <c r="Q72" s="13">
        <f>K72</f>
        <v>3</v>
      </c>
      <c r="R72" s="13">
        <f>P72+F72</f>
        <v>25.5</v>
      </c>
      <c r="S72" s="13">
        <f>F72+Q72</f>
        <v>27</v>
      </c>
      <c r="T72" s="13">
        <f>(R72+S72)/2</f>
        <v>26.25</v>
      </c>
      <c r="U72" s="14">
        <f>ROUND(T72,0)</f>
        <v>26</v>
      </c>
      <c r="V72" s="34">
        <v>0.13</v>
      </c>
      <c r="W72" s="31">
        <v>99.27</v>
      </c>
      <c r="X72" s="31">
        <v>0.6</v>
      </c>
      <c r="Y72" s="31">
        <v>0.42</v>
      </c>
      <c r="Z72" s="31">
        <v>0.31</v>
      </c>
      <c r="AA72" s="34">
        <v>0.6</v>
      </c>
      <c r="AB72" s="31">
        <v>0.49</v>
      </c>
      <c r="AC72" s="32">
        <v>1.7907999999999999</v>
      </c>
      <c r="AD72" s="33">
        <v>0.18029999999999999</v>
      </c>
      <c r="AE72" s="33">
        <v>0.19939999999999999</v>
      </c>
      <c r="AF72" s="33">
        <v>0.29930000000000001</v>
      </c>
      <c r="AG72" s="33">
        <v>0.32290000000000002</v>
      </c>
      <c r="AH72" s="33">
        <v>0.3483</v>
      </c>
      <c r="AI72" s="32">
        <v>1.7769999999999999</v>
      </c>
      <c r="AJ72" s="33">
        <v>0.18190000000000001</v>
      </c>
      <c r="AK72" s="33">
        <v>0.20100000000000001</v>
      </c>
      <c r="AL72" s="33">
        <v>0.3231</v>
      </c>
      <c r="AM72" s="33">
        <v>0.34839999999999999</v>
      </c>
      <c r="AN72" s="33">
        <v>0.29970000000000002</v>
      </c>
      <c r="AO72" s="2"/>
    </row>
    <row r="73" spans="1:42">
      <c r="A73" s="29" t="s">
        <v>105</v>
      </c>
      <c r="B73" s="10">
        <v>2</v>
      </c>
      <c r="C73" s="29" t="s">
        <v>88</v>
      </c>
      <c r="D73" s="30">
        <v>598263.19999999995</v>
      </c>
      <c r="E73" s="30">
        <v>5851444.4000000004</v>
      </c>
      <c r="F73" s="31">
        <v>24</v>
      </c>
      <c r="H73" s="29" t="s">
        <v>116</v>
      </c>
      <c r="I73" s="27" t="s">
        <v>63</v>
      </c>
      <c r="J73" s="31">
        <v>3.02</v>
      </c>
      <c r="K73" s="31">
        <v>4</v>
      </c>
      <c r="L73" s="17">
        <f>F73+J73</f>
        <v>27.02</v>
      </c>
      <c r="M73" s="16">
        <f>F73+K73</f>
        <v>28</v>
      </c>
      <c r="N73" s="12">
        <f>(L73+M73)/2</f>
        <v>27.509999999999998</v>
      </c>
      <c r="O73" s="11">
        <f>ROUND(N73,0)</f>
        <v>28</v>
      </c>
      <c r="P73" s="13">
        <v>3</v>
      </c>
      <c r="Q73" s="13">
        <f>K73</f>
        <v>4</v>
      </c>
      <c r="R73" s="13">
        <f>P73+F73</f>
        <v>27</v>
      </c>
      <c r="S73" s="13">
        <f>F73+Q73</f>
        <v>28</v>
      </c>
      <c r="T73" s="13">
        <f>(R73+S73)/2</f>
        <v>27.5</v>
      </c>
      <c r="U73" s="14">
        <f>ROUND(T73,0)</f>
        <v>28</v>
      </c>
      <c r="V73" s="34">
        <v>0.16</v>
      </c>
      <c r="W73" s="31">
        <v>99.28</v>
      </c>
      <c r="X73" s="31">
        <v>0.56000000000000005</v>
      </c>
      <c r="Y73" s="31">
        <v>0.42</v>
      </c>
      <c r="Z73" s="31">
        <v>0.28999999999999998</v>
      </c>
      <c r="AA73" s="34">
        <v>0.56000000000000005</v>
      </c>
      <c r="AB73" s="31">
        <v>0.43</v>
      </c>
      <c r="AC73" s="32">
        <v>1.8893</v>
      </c>
      <c r="AD73" s="33">
        <v>0.16539999999999999</v>
      </c>
      <c r="AE73" s="33">
        <v>0.1903</v>
      </c>
      <c r="AF73" s="33">
        <v>0.2913</v>
      </c>
      <c r="AG73" s="33">
        <v>0.31240000000000001</v>
      </c>
      <c r="AH73" s="33">
        <v>0.33510000000000001</v>
      </c>
      <c r="AI73" s="32">
        <v>1.8647</v>
      </c>
      <c r="AJ73" s="33">
        <v>0.1676</v>
      </c>
      <c r="AK73" s="33">
        <v>0.19170000000000001</v>
      </c>
      <c r="AL73" s="33">
        <v>0.31259999999999999</v>
      </c>
      <c r="AM73" s="33">
        <v>0.3352</v>
      </c>
      <c r="AN73" s="33">
        <v>0.29160000000000003</v>
      </c>
    </row>
    <row r="74" spans="1:42">
      <c r="A74" s="29" t="s">
        <v>105</v>
      </c>
      <c r="B74" s="10">
        <v>2</v>
      </c>
      <c r="C74" s="29" t="s">
        <v>88</v>
      </c>
      <c r="D74" s="30">
        <v>598263.19999999995</v>
      </c>
      <c r="E74" s="30">
        <v>5851444.4000000004</v>
      </c>
      <c r="F74" s="31">
        <v>24</v>
      </c>
      <c r="H74" s="29" t="s">
        <v>117</v>
      </c>
      <c r="I74" s="27" t="s">
        <v>61</v>
      </c>
      <c r="J74" s="31">
        <v>4.03</v>
      </c>
      <c r="K74" s="31">
        <v>5</v>
      </c>
      <c r="L74" s="17">
        <f>F74+J74</f>
        <v>28.03</v>
      </c>
      <c r="M74" s="16">
        <f>F74+K74</f>
        <v>29</v>
      </c>
      <c r="N74" s="12">
        <f>(L74+M74)/2</f>
        <v>28.515000000000001</v>
      </c>
      <c r="O74" s="11">
        <f>ROUND(N74,0)</f>
        <v>29</v>
      </c>
      <c r="P74" s="13">
        <v>4</v>
      </c>
      <c r="Q74" s="13">
        <f>K74</f>
        <v>5</v>
      </c>
      <c r="R74" s="13">
        <f>P74+F74</f>
        <v>28</v>
      </c>
      <c r="S74" s="13">
        <f>F74+Q74</f>
        <v>29</v>
      </c>
      <c r="T74" s="13">
        <f>(R74+S74)/2</f>
        <v>28.5</v>
      </c>
      <c r="U74" s="14">
        <f>ROUND(T74,0)</f>
        <v>29</v>
      </c>
      <c r="V74" s="34">
        <v>0</v>
      </c>
      <c r="W74" s="31">
        <v>99.08</v>
      </c>
      <c r="X74" s="31">
        <v>0.92</v>
      </c>
      <c r="Y74" s="31">
        <v>0.79</v>
      </c>
      <c r="Z74" s="31">
        <v>0.51</v>
      </c>
      <c r="AA74" s="34">
        <v>0.92</v>
      </c>
      <c r="AB74" s="31">
        <v>0.64</v>
      </c>
      <c r="AC74" s="32">
        <v>1.6277999999999999</v>
      </c>
      <c r="AD74" s="33">
        <v>0.1328</v>
      </c>
      <c r="AE74" s="33">
        <v>0.14080000000000001</v>
      </c>
      <c r="AF74" s="33">
        <v>0.20019999999999999</v>
      </c>
      <c r="AG74" s="33">
        <v>0.21609999999999999</v>
      </c>
      <c r="AH74" s="33">
        <v>0.23319999999999999</v>
      </c>
      <c r="AI74" s="32">
        <v>1.6201000000000001</v>
      </c>
      <c r="AJ74" s="33">
        <v>0.13370000000000001</v>
      </c>
      <c r="AK74" s="33">
        <v>0.1416</v>
      </c>
      <c r="AL74" s="33">
        <v>0.2165</v>
      </c>
      <c r="AM74" s="33">
        <v>0.2336</v>
      </c>
      <c r="AN74" s="33">
        <v>0.20069999999999999</v>
      </c>
      <c r="AO74" s="2"/>
    </row>
    <row r="75" spans="1:42">
      <c r="A75" s="29" t="s">
        <v>106</v>
      </c>
      <c r="B75" s="10">
        <v>2</v>
      </c>
      <c r="C75" s="29" t="s">
        <v>89</v>
      </c>
      <c r="D75" s="30">
        <v>598419.5</v>
      </c>
      <c r="E75" s="30">
        <v>5852792.0999999996</v>
      </c>
      <c r="F75" s="31">
        <v>29</v>
      </c>
      <c r="H75" s="29" t="s">
        <v>111</v>
      </c>
      <c r="I75" s="27" t="s">
        <v>65</v>
      </c>
      <c r="J75" s="31">
        <v>0.23</v>
      </c>
      <c r="K75" s="31">
        <v>0.6</v>
      </c>
      <c r="L75" s="17">
        <f>F75+J75</f>
        <v>29.23</v>
      </c>
      <c r="M75" s="16">
        <f>F75+K75</f>
        <v>29.6</v>
      </c>
      <c r="N75" s="12">
        <f>(L75+M75)/2</f>
        <v>29.414999999999999</v>
      </c>
      <c r="O75" s="11">
        <f>ROUND(N75,0)</f>
        <v>29</v>
      </c>
      <c r="P75" s="13">
        <v>0</v>
      </c>
      <c r="Q75" s="13">
        <f>K75</f>
        <v>0.6</v>
      </c>
      <c r="R75" s="13">
        <f>P75+F75</f>
        <v>29</v>
      </c>
      <c r="S75" s="13">
        <f>F75+Q75</f>
        <v>29.6</v>
      </c>
      <c r="T75" s="13">
        <f>(R75+S75)/2</f>
        <v>29.3</v>
      </c>
      <c r="U75" s="14">
        <f>ROUND(T75,0)</f>
        <v>29</v>
      </c>
      <c r="V75" s="34">
        <v>0.22</v>
      </c>
      <c r="W75" s="31">
        <v>99.36</v>
      </c>
      <c r="X75" s="31">
        <v>0.42</v>
      </c>
      <c r="Y75" s="31">
        <v>0.3</v>
      </c>
      <c r="Z75" s="31">
        <v>0.24</v>
      </c>
      <c r="AA75" s="34">
        <v>0.42</v>
      </c>
      <c r="AB75" s="31">
        <v>0.37</v>
      </c>
      <c r="AC75" s="32">
        <v>3.2965</v>
      </c>
      <c r="AD75" s="33">
        <v>0.15659999999999999</v>
      </c>
      <c r="AE75" s="33">
        <v>0.1825</v>
      </c>
      <c r="AF75" s="33">
        <v>0.45419999999999999</v>
      </c>
      <c r="AG75" s="33">
        <v>0.5161</v>
      </c>
      <c r="AH75" s="33">
        <v>0.57809999999999995</v>
      </c>
      <c r="AI75" s="32">
        <v>3.2664</v>
      </c>
      <c r="AJ75" s="33">
        <v>0.158</v>
      </c>
      <c r="AK75" s="33">
        <v>0.1842</v>
      </c>
      <c r="AL75" s="33">
        <v>0.51619999999999999</v>
      </c>
      <c r="AM75" s="33">
        <v>0.57789999999999997</v>
      </c>
      <c r="AN75" s="33">
        <v>0.4546</v>
      </c>
    </row>
    <row r="76" spans="1:42">
      <c r="A76" s="29" t="s">
        <v>106</v>
      </c>
      <c r="B76" s="10">
        <v>2</v>
      </c>
      <c r="C76" s="29" t="s">
        <v>89</v>
      </c>
      <c r="D76" s="30">
        <v>598419.5</v>
      </c>
      <c r="E76" s="30">
        <v>5852792.0999999996</v>
      </c>
      <c r="F76" s="31">
        <v>29</v>
      </c>
      <c r="H76" s="29" t="s">
        <v>111</v>
      </c>
      <c r="I76" s="27" t="s">
        <v>58</v>
      </c>
      <c r="J76" s="31">
        <v>0.6</v>
      </c>
      <c r="K76" s="31">
        <v>1</v>
      </c>
      <c r="L76" s="17">
        <f>F76+J76</f>
        <v>29.6</v>
      </c>
      <c r="M76" s="16">
        <f>F76+K76</f>
        <v>30</v>
      </c>
      <c r="N76" s="12">
        <f>(L76+M76)/2</f>
        <v>29.8</v>
      </c>
      <c r="O76" s="11">
        <f>ROUND(N76,0)</f>
        <v>30</v>
      </c>
      <c r="P76" s="13">
        <f>J76</f>
        <v>0.6</v>
      </c>
      <c r="Q76" s="13">
        <f>K76</f>
        <v>1</v>
      </c>
      <c r="R76" s="13">
        <f>P76+F76</f>
        <v>29.6</v>
      </c>
      <c r="S76" s="13">
        <f>F76+Q76</f>
        <v>30</v>
      </c>
      <c r="T76" s="13">
        <f>(R76+S76)/2</f>
        <v>29.8</v>
      </c>
      <c r="U76" s="14">
        <f>ROUND(T76,0)</f>
        <v>30</v>
      </c>
      <c r="V76" s="34">
        <v>1.27</v>
      </c>
      <c r="W76" s="31">
        <v>98.08</v>
      </c>
      <c r="X76" s="31">
        <v>0.65</v>
      </c>
      <c r="Y76" s="31">
        <v>0.56000000000000005</v>
      </c>
      <c r="Z76" s="31">
        <v>0.3</v>
      </c>
      <c r="AA76" s="34">
        <v>0.65</v>
      </c>
      <c r="AB76" s="31">
        <v>0.38</v>
      </c>
      <c r="AC76" s="32">
        <v>3.3607999999999998</v>
      </c>
      <c r="AD76" s="33">
        <v>0.17199999999999999</v>
      </c>
      <c r="AE76" s="33">
        <v>0.23200000000000001</v>
      </c>
      <c r="AF76" s="33">
        <v>0.51910000000000001</v>
      </c>
      <c r="AG76" s="33">
        <v>0.57820000000000005</v>
      </c>
      <c r="AH76" s="33">
        <v>0.64390000000000003</v>
      </c>
      <c r="AI76" s="32">
        <v>3.3098000000000001</v>
      </c>
      <c r="AJ76" s="33">
        <v>0.17349999999999999</v>
      </c>
      <c r="AK76" s="33">
        <v>0.23400000000000001</v>
      </c>
      <c r="AL76" s="33">
        <v>0.57440000000000002</v>
      </c>
      <c r="AM76" s="33">
        <v>0.63859999999999995</v>
      </c>
      <c r="AN76" s="33">
        <v>0.51659999999999995</v>
      </c>
    </row>
    <row r="77" spans="1:42">
      <c r="A77" s="29" t="s">
        <v>106</v>
      </c>
      <c r="B77" s="10">
        <v>2</v>
      </c>
      <c r="C77" s="29" t="s">
        <v>89</v>
      </c>
      <c r="D77" s="30">
        <v>598419.5</v>
      </c>
      <c r="E77" s="30">
        <v>5852792.0999999996</v>
      </c>
      <c r="F77" s="31">
        <v>29</v>
      </c>
      <c r="H77" s="29" t="s">
        <v>112</v>
      </c>
      <c r="I77" s="27" t="s">
        <v>59</v>
      </c>
      <c r="J77" s="31">
        <v>1.03</v>
      </c>
      <c r="K77" s="31">
        <v>2</v>
      </c>
      <c r="L77" s="17">
        <f>F77+J77</f>
        <v>30.03</v>
      </c>
      <c r="M77" s="16">
        <f>F77+K77</f>
        <v>31</v>
      </c>
      <c r="N77" s="12">
        <f>(L77+M77)/2</f>
        <v>30.515000000000001</v>
      </c>
      <c r="O77" s="11">
        <f>ROUND(N77,0)</f>
        <v>31</v>
      </c>
      <c r="P77" s="13">
        <v>1</v>
      </c>
      <c r="Q77" s="13">
        <f>K77</f>
        <v>2</v>
      </c>
      <c r="R77" s="13">
        <f>P77+F77</f>
        <v>30</v>
      </c>
      <c r="S77" s="13">
        <f>F77+Q77</f>
        <v>31</v>
      </c>
      <c r="T77" s="13">
        <f>(R77+S77)/2</f>
        <v>30.5</v>
      </c>
      <c r="U77" s="14">
        <f>ROUND(T77,0)</f>
        <v>31</v>
      </c>
      <c r="V77" s="34">
        <v>0.17</v>
      </c>
      <c r="W77" s="31">
        <v>99.29</v>
      </c>
      <c r="X77" s="31">
        <v>0.54</v>
      </c>
      <c r="Y77" s="31">
        <v>0.38</v>
      </c>
      <c r="Z77" s="31">
        <v>0.27</v>
      </c>
      <c r="AA77" s="34">
        <v>0.54</v>
      </c>
      <c r="AB77" s="31">
        <v>0.43</v>
      </c>
      <c r="AC77" s="32">
        <v>2.8733</v>
      </c>
      <c r="AD77" s="33">
        <v>0.15079999999999999</v>
      </c>
      <c r="AE77" s="33">
        <v>0.17199999999999999</v>
      </c>
      <c r="AF77" s="33">
        <v>0.3926</v>
      </c>
      <c r="AG77" s="33">
        <v>0.43330000000000002</v>
      </c>
      <c r="AH77" s="33">
        <v>0.47810000000000002</v>
      </c>
      <c r="AI77" s="32">
        <v>2.8475999999999999</v>
      </c>
      <c r="AJ77" s="33">
        <v>0.15229999999999999</v>
      </c>
      <c r="AK77" s="33">
        <v>0.1736</v>
      </c>
      <c r="AL77" s="33">
        <v>0.43359999999999999</v>
      </c>
      <c r="AM77" s="33">
        <v>0.47810000000000002</v>
      </c>
      <c r="AN77" s="33">
        <v>0.3931</v>
      </c>
    </row>
    <row r="78" spans="1:42">
      <c r="A78" s="29" t="s">
        <v>106</v>
      </c>
      <c r="B78" s="10">
        <v>2</v>
      </c>
      <c r="C78" s="29" t="s">
        <v>89</v>
      </c>
      <c r="D78" s="30">
        <v>598419.5</v>
      </c>
      <c r="E78" s="30">
        <v>5852792.0999999996</v>
      </c>
      <c r="F78" s="31">
        <v>29</v>
      </c>
      <c r="H78" s="29" t="s">
        <v>113</v>
      </c>
      <c r="I78" s="27" t="s">
        <v>60</v>
      </c>
      <c r="J78" s="31">
        <v>2.04</v>
      </c>
      <c r="K78" s="31">
        <v>2.81</v>
      </c>
      <c r="L78" s="17">
        <f>F78+J78</f>
        <v>31.04</v>
      </c>
      <c r="M78" s="16">
        <f>F78+K78</f>
        <v>31.81</v>
      </c>
      <c r="N78" s="12">
        <f>(L78+M78)/2</f>
        <v>31.424999999999997</v>
      </c>
      <c r="O78" s="11">
        <f>ROUND(N78,0)</f>
        <v>31</v>
      </c>
      <c r="P78" s="13">
        <v>2</v>
      </c>
      <c r="Q78" s="13">
        <f>K78</f>
        <v>2.81</v>
      </c>
      <c r="R78" s="13">
        <f>P78+F78</f>
        <v>31</v>
      </c>
      <c r="S78" s="13">
        <f>F78+Q78</f>
        <v>31.81</v>
      </c>
      <c r="T78" s="13">
        <f>(R78+S78)/2</f>
        <v>31.405000000000001</v>
      </c>
      <c r="U78" s="14">
        <f>ROUND(T78,0)</f>
        <v>31</v>
      </c>
      <c r="V78" s="34">
        <v>0</v>
      </c>
      <c r="W78" s="31">
        <v>99.2</v>
      </c>
      <c r="X78" s="31">
        <v>0.8</v>
      </c>
      <c r="Y78" s="31">
        <v>0.69</v>
      </c>
      <c r="Z78" s="31">
        <v>0.37</v>
      </c>
      <c r="AA78" s="34">
        <v>0.8</v>
      </c>
      <c r="AB78" s="31">
        <v>0.48</v>
      </c>
      <c r="AC78" s="32">
        <v>2.4533999999999998</v>
      </c>
      <c r="AD78" s="33">
        <v>0.1396</v>
      </c>
      <c r="AE78" s="33">
        <v>0.1522</v>
      </c>
      <c r="AF78" s="33">
        <v>0.29509999999999997</v>
      </c>
      <c r="AG78" s="33">
        <v>0.34239999999999998</v>
      </c>
      <c r="AH78" s="33">
        <v>0.38619999999999999</v>
      </c>
      <c r="AI78" s="32">
        <v>2.4420999999999999</v>
      </c>
      <c r="AJ78" s="33">
        <v>0.1406</v>
      </c>
      <c r="AK78" s="33">
        <v>0.1532</v>
      </c>
      <c r="AL78" s="33">
        <v>0.34339999999999998</v>
      </c>
      <c r="AM78" s="33">
        <v>0.38679999999999998</v>
      </c>
      <c r="AN78" s="33">
        <v>0.29620000000000002</v>
      </c>
    </row>
    <row r="79" spans="1:42">
      <c r="A79" s="29" t="s">
        <v>106</v>
      </c>
      <c r="B79" s="10">
        <v>2</v>
      </c>
      <c r="C79" s="29" t="s">
        <v>89</v>
      </c>
      <c r="D79" s="30">
        <v>598419.5</v>
      </c>
      <c r="E79" s="30">
        <v>5852792.0999999996</v>
      </c>
      <c r="F79" s="31">
        <v>29</v>
      </c>
      <c r="H79" s="29" t="s">
        <v>116</v>
      </c>
      <c r="I79" s="27" t="s">
        <v>63</v>
      </c>
      <c r="J79" s="31">
        <v>3.05</v>
      </c>
      <c r="K79" s="31">
        <v>4</v>
      </c>
      <c r="L79" s="17">
        <f>F79+J79</f>
        <v>32.049999999999997</v>
      </c>
      <c r="M79" s="16">
        <f>F79+K79</f>
        <v>33</v>
      </c>
      <c r="N79" s="12">
        <f>(L79+M79)/2</f>
        <v>32.524999999999999</v>
      </c>
      <c r="O79" s="11">
        <f>ROUND(N79,0)</f>
        <v>33</v>
      </c>
      <c r="P79" s="13">
        <v>3</v>
      </c>
      <c r="Q79" s="13">
        <f>K79</f>
        <v>4</v>
      </c>
      <c r="R79" s="13">
        <f>P79+F79</f>
        <v>32</v>
      </c>
      <c r="S79" s="13">
        <f>F79+Q79</f>
        <v>33</v>
      </c>
      <c r="T79" s="13">
        <f>(R79+S79)/2</f>
        <v>32.5</v>
      </c>
      <c r="U79" s="14">
        <f>ROUND(T79,0)</f>
        <v>33</v>
      </c>
      <c r="V79" s="34">
        <v>0.96</v>
      </c>
      <c r="W79" s="31">
        <v>98.31</v>
      </c>
      <c r="X79" s="31">
        <v>0.73</v>
      </c>
      <c r="Y79" s="31">
        <v>0.44</v>
      </c>
      <c r="Z79" s="31">
        <v>0.28999999999999998</v>
      </c>
      <c r="AA79" s="34">
        <v>0.73</v>
      </c>
      <c r="AB79" s="31">
        <v>0.57999999999999996</v>
      </c>
      <c r="AC79" s="32">
        <v>2.1916000000000002</v>
      </c>
      <c r="AD79" s="33">
        <v>0.17419999999999999</v>
      </c>
      <c r="AE79" s="33">
        <v>0.20280000000000001</v>
      </c>
      <c r="AF79" s="33">
        <v>0.33829999999999999</v>
      </c>
      <c r="AG79" s="33">
        <v>0.38179999999999997</v>
      </c>
      <c r="AH79" s="33">
        <v>0.43480000000000002</v>
      </c>
      <c r="AI79" s="32">
        <v>2.1398000000000001</v>
      </c>
      <c r="AJ79" s="33">
        <v>0.17760000000000001</v>
      </c>
      <c r="AK79" s="33">
        <v>0.20480000000000001</v>
      </c>
      <c r="AL79" s="33">
        <v>0.38009999999999999</v>
      </c>
      <c r="AM79" s="33">
        <v>0.43190000000000001</v>
      </c>
      <c r="AN79" s="33">
        <v>0.33760000000000001</v>
      </c>
    </row>
    <row r="80" spans="1:42">
      <c r="A80" s="29" t="s">
        <v>106</v>
      </c>
      <c r="B80" s="10">
        <v>2</v>
      </c>
      <c r="C80" s="29" t="s">
        <v>89</v>
      </c>
      <c r="D80" s="30">
        <v>598419.5</v>
      </c>
      <c r="E80" s="30">
        <v>5852792.0999999996</v>
      </c>
      <c r="F80" s="31">
        <v>29</v>
      </c>
      <c r="H80" s="29" t="s">
        <v>117</v>
      </c>
      <c r="I80" s="27" t="s">
        <v>62</v>
      </c>
      <c r="J80" s="31">
        <v>4.04</v>
      </c>
      <c r="K80" s="31">
        <v>5</v>
      </c>
      <c r="L80" s="17">
        <f>F80+J80</f>
        <v>33.04</v>
      </c>
      <c r="M80" s="16">
        <f>F80+K80</f>
        <v>34</v>
      </c>
      <c r="N80" s="12">
        <f>(L80+M80)/2</f>
        <v>33.519999999999996</v>
      </c>
      <c r="O80" s="11">
        <f>ROUND(N80,0)</f>
        <v>34</v>
      </c>
      <c r="P80" s="13">
        <f>J80</f>
        <v>4.04</v>
      </c>
      <c r="Q80" s="13">
        <v>5.65</v>
      </c>
      <c r="R80" s="13">
        <f>P80+F80</f>
        <v>33.04</v>
      </c>
      <c r="S80" s="13">
        <f>F80+Q80</f>
        <v>34.65</v>
      </c>
      <c r="T80" s="13">
        <f>(R80+S80)/2</f>
        <v>33.844999999999999</v>
      </c>
      <c r="U80" s="14">
        <f>ROUND(T80,0)</f>
        <v>34</v>
      </c>
      <c r="V80" s="34">
        <v>0</v>
      </c>
      <c r="W80" s="31">
        <v>99.46</v>
      </c>
      <c r="X80" s="31">
        <v>0.54</v>
      </c>
      <c r="Y80" s="31">
        <v>0.52</v>
      </c>
      <c r="Z80" s="31">
        <v>0.26</v>
      </c>
      <c r="AA80" s="34">
        <v>0.54</v>
      </c>
      <c r="AB80" s="31">
        <v>0.28999999999999998</v>
      </c>
      <c r="AC80" s="32">
        <v>1.6165</v>
      </c>
      <c r="AD80" s="33">
        <v>0.19700000000000001</v>
      </c>
      <c r="AE80" s="33">
        <v>0.22159999999999999</v>
      </c>
      <c r="AF80" s="33">
        <v>0.29970000000000002</v>
      </c>
      <c r="AG80" s="33">
        <v>0.31840000000000002</v>
      </c>
      <c r="AH80" s="33">
        <v>0.33829999999999999</v>
      </c>
      <c r="AI80" s="32">
        <v>1.6077999999999999</v>
      </c>
      <c r="AJ80" s="33">
        <v>0.19819999999999999</v>
      </c>
      <c r="AK80" s="33">
        <v>0.22289999999999999</v>
      </c>
      <c r="AL80" s="33">
        <v>0.31859999999999999</v>
      </c>
      <c r="AM80" s="33">
        <v>0.33850000000000002</v>
      </c>
      <c r="AN80" s="33">
        <v>0.2999</v>
      </c>
    </row>
    <row r="81" spans="1:42">
      <c r="A81" s="29" t="s">
        <v>107</v>
      </c>
      <c r="B81" s="10">
        <v>2</v>
      </c>
      <c r="C81" s="29" t="s">
        <v>90</v>
      </c>
      <c r="D81" s="30">
        <v>598699.6</v>
      </c>
      <c r="E81" s="30">
        <v>5852493.2999999998</v>
      </c>
      <c r="F81" s="31">
        <v>24.3</v>
      </c>
      <c r="H81" s="29" t="s">
        <v>111</v>
      </c>
      <c r="I81" s="27" t="s">
        <v>65</v>
      </c>
      <c r="J81" s="31">
        <v>0.12</v>
      </c>
      <c r="K81" s="31">
        <v>0.68</v>
      </c>
      <c r="L81" s="17">
        <f>F81+J81</f>
        <v>24.42</v>
      </c>
      <c r="M81" s="16">
        <f>F81+K81</f>
        <v>24.98</v>
      </c>
      <c r="N81" s="12">
        <f>(L81+M81)/2</f>
        <v>24.700000000000003</v>
      </c>
      <c r="O81" s="11">
        <f>ROUND(N81,0)</f>
        <v>25</v>
      </c>
      <c r="P81" s="13">
        <v>0</v>
      </c>
      <c r="Q81" s="13">
        <f>K81</f>
        <v>0.68</v>
      </c>
      <c r="R81" s="13">
        <f>P81+F81</f>
        <v>24.3</v>
      </c>
      <c r="S81" s="13">
        <f>F81+Q81</f>
        <v>24.98</v>
      </c>
      <c r="T81" s="13">
        <f>(R81+S81)/2</f>
        <v>24.64</v>
      </c>
      <c r="U81" s="14">
        <f>ROUND(T81,0)</f>
        <v>25</v>
      </c>
      <c r="V81" s="34">
        <v>2.79</v>
      </c>
      <c r="W81" s="31">
        <v>94.72</v>
      </c>
      <c r="X81" s="31">
        <v>2.4900000000000002</v>
      </c>
      <c r="Y81" s="31">
        <v>1.98</v>
      </c>
      <c r="Z81" s="31">
        <v>1.68</v>
      </c>
      <c r="AA81" s="34">
        <v>2.4900000000000002</v>
      </c>
      <c r="AB81" s="31">
        <v>2.19</v>
      </c>
      <c r="AC81" s="32">
        <v>1.8967000000000001</v>
      </c>
      <c r="AD81" s="33">
        <v>0.1447</v>
      </c>
      <c r="AE81" s="33">
        <v>0.1648</v>
      </c>
      <c r="AF81" s="33">
        <v>0.24229999999999999</v>
      </c>
      <c r="AG81" s="33">
        <v>0.27439999999999998</v>
      </c>
      <c r="AH81" s="33">
        <v>0.31540000000000001</v>
      </c>
      <c r="AI81" s="32">
        <v>1.7945</v>
      </c>
      <c r="AJ81" s="33">
        <v>0.1512</v>
      </c>
      <c r="AK81" s="33">
        <v>0.17119999999999999</v>
      </c>
      <c r="AL81" s="33">
        <v>0.27129999999999999</v>
      </c>
      <c r="AM81" s="33">
        <v>0.30980000000000002</v>
      </c>
      <c r="AN81" s="33">
        <v>0.24160000000000001</v>
      </c>
    </row>
    <row r="82" spans="1:42">
      <c r="A82" s="29" t="s">
        <v>107</v>
      </c>
      <c r="B82" s="10">
        <v>2</v>
      </c>
      <c r="C82" s="29" t="s">
        <v>90</v>
      </c>
      <c r="D82" s="30">
        <v>598699.6</v>
      </c>
      <c r="E82" s="30">
        <v>5852493.2999999998</v>
      </c>
      <c r="F82" s="31">
        <v>24.3</v>
      </c>
      <c r="H82" s="29" t="s">
        <v>111</v>
      </c>
      <c r="I82" s="27" t="s">
        <v>58</v>
      </c>
      <c r="J82" s="31">
        <v>0.68</v>
      </c>
      <c r="K82" s="31">
        <v>1</v>
      </c>
      <c r="L82" s="17">
        <f>F82+J82</f>
        <v>24.98</v>
      </c>
      <c r="M82" s="16">
        <f>F82+K82</f>
        <v>25.3</v>
      </c>
      <c r="N82" s="12">
        <f>(L82+M82)/2</f>
        <v>25.14</v>
      </c>
      <c r="O82" s="11">
        <f>ROUND(N82,0)</f>
        <v>25</v>
      </c>
      <c r="P82" s="13">
        <f>J82</f>
        <v>0.68</v>
      </c>
      <c r="Q82" s="13">
        <f>K82</f>
        <v>1</v>
      </c>
      <c r="R82" s="13">
        <f>P82+F82</f>
        <v>24.98</v>
      </c>
      <c r="S82" s="13">
        <f>F82+Q82</f>
        <v>25.3</v>
      </c>
      <c r="T82" s="13">
        <f>(R82+S82)/2</f>
        <v>25.14</v>
      </c>
      <c r="U82" s="14">
        <f>ROUND(T82,0)</f>
        <v>25</v>
      </c>
      <c r="V82" s="34">
        <v>0.03</v>
      </c>
      <c r="W82" s="31">
        <v>98.6</v>
      </c>
      <c r="X82" s="31">
        <v>1.37</v>
      </c>
      <c r="Y82" s="31">
        <v>1.1299999999999999</v>
      </c>
      <c r="Z82" s="31">
        <v>0.64</v>
      </c>
      <c r="AA82" s="34">
        <v>1.37</v>
      </c>
      <c r="AB82" s="31">
        <v>0.88</v>
      </c>
      <c r="AC82" s="32">
        <v>2.0085999999999999</v>
      </c>
      <c r="AD82" s="33">
        <v>0.15240000000000001</v>
      </c>
      <c r="AE82" s="33">
        <v>0.1802</v>
      </c>
      <c r="AF82" s="33">
        <v>0.28299999999999997</v>
      </c>
      <c r="AG82" s="33">
        <v>0.30620000000000003</v>
      </c>
      <c r="AH82" s="33">
        <v>0.33119999999999999</v>
      </c>
      <c r="AI82" s="32">
        <v>1.9612000000000001</v>
      </c>
      <c r="AJ82" s="33">
        <v>0.1565</v>
      </c>
      <c r="AK82" s="33">
        <v>0.1825</v>
      </c>
      <c r="AL82" s="33">
        <v>0.307</v>
      </c>
      <c r="AM82" s="33">
        <v>0.33179999999999998</v>
      </c>
      <c r="AN82" s="33">
        <v>0.28399999999999997</v>
      </c>
    </row>
    <row r="83" spans="1:42">
      <c r="A83" s="29" t="s">
        <v>107</v>
      </c>
      <c r="B83" s="10">
        <v>2</v>
      </c>
      <c r="C83" s="29" t="s">
        <v>90</v>
      </c>
      <c r="D83" s="30">
        <v>598699.6</v>
      </c>
      <c r="E83" s="30">
        <v>5852493.2999999998</v>
      </c>
      <c r="F83" s="31">
        <v>24.3</v>
      </c>
      <c r="H83" s="29" t="s">
        <v>112</v>
      </c>
      <c r="I83" s="27" t="s">
        <v>59</v>
      </c>
      <c r="J83" s="31">
        <v>1.03</v>
      </c>
      <c r="K83" s="31">
        <v>2</v>
      </c>
      <c r="L83" s="17">
        <f>F83+J83</f>
        <v>25.330000000000002</v>
      </c>
      <c r="M83" s="16">
        <f>F83+K83</f>
        <v>26.3</v>
      </c>
      <c r="N83" s="12">
        <f>(L83+M83)/2</f>
        <v>25.815000000000001</v>
      </c>
      <c r="O83" s="11">
        <f>ROUND(N83,0)</f>
        <v>26</v>
      </c>
      <c r="P83" s="13">
        <v>1</v>
      </c>
      <c r="Q83" s="13">
        <f>K83</f>
        <v>2</v>
      </c>
      <c r="R83" s="13">
        <f>P83+F83</f>
        <v>25.3</v>
      </c>
      <c r="S83" s="13">
        <f>F83+Q83</f>
        <v>26.3</v>
      </c>
      <c r="T83" s="13">
        <f>(R83+S83)/2</f>
        <v>25.8</v>
      </c>
      <c r="U83" s="14">
        <f>ROUND(T83,0)</f>
        <v>26</v>
      </c>
      <c r="V83" s="34">
        <v>0.01</v>
      </c>
      <c r="W83" s="31">
        <v>99.25</v>
      </c>
      <c r="X83" s="31">
        <v>0.74</v>
      </c>
      <c r="Y83" s="31">
        <v>0.74</v>
      </c>
      <c r="Z83" s="31">
        <v>0.39</v>
      </c>
      <c r="AA83" s="34">
        <v>0.74</v>
      </c>
      <c r="AB83" s="31">
        <v>0.39</v>
      </c>
      <c r="AC83" s="32">
        <v>1.6632</v>
      </c>
      <c r="AD83" s="33">
        <v>0.18090000000000001</v>
      </c>
      <c r="AE83" s="33">
        <v>0.1946</v>
      </c>
      <c r="AF83" s="33">
        <v>0.28149999999999997</v>
      </c>
      <c r="AG83" s="33">
        <v>0.3009</v>
      </c>
      <c r="AH83" s="33">
        <v>0.32169999999999999</v>
      </c>
      <c r="AI83" s="32">
        <v>1.6564000000000001</v>
      </c>
      <c r="AJ83" s="33">
        <v>0.18190000000000001</v>
      </c>
      <c r="AK83" s="33">
        <v>0.1956</v>
      </c>
      <c r="AL83" s="33">
        <v>0.30120000000000002</v>
      </c>
      <c r="AM83" s="33">
        <v>0.32190000000000002</v>
      </c>
      <c r="AN83" s="33">
        <v>0.28189999999999998</v>
      </c>
    </row>
    <row r="84" spans="1:42">
      <c r="A84" s="29" t="s">
        <v>107</v>
      </c>
      <c r="B84" s="10">
        <v>2</v>
      </c>
      <c r="C84" s="29" t="s">
        <v>90</v>
      </c>
      <c r="D84" s="30">
        <v>598699.6</v>
      </c>
      <c r="E84" s="30">
        <v>5852493.2999999998</v>
      </c>
      <c r="F84" s="31">
        <v>24.3</v>
      </c>
      <c r="H84" s="29" t="s">
        <v>113</v>
      </c>
      <c r="I84" s="27" t="s">
        <v>60</v>
      </c>
      <c r="J84" s="31">
        <v>2.0299999999999998</v>
      </c>
      <c r="K84" s="31">
        <v>3</v>
      </c>
      <c r="L84" s="17">
        <f>F84+J84</f>
        <v>26.330000000000002</v>
      </c>
      <c r="M84" s="16">
        <f>F84+K84</f>
        <v>27.3</v>
      </c>
      <c r="N84" s="12">
        <f>(L84+M84)/2</f>
        <v>26.815000000000001</v>
      </c>
      <c r="O84" s="11">
        <f>ROUND(N84,0)</f>
        <v>27</v>
      </c>
      <c r="P84" s="13">
        <v>2</v>
      </c>
      <c r="Q84" s="13">
        <f>K84</f>
        <v>3</v>
      </c>
      <c r="R84" s="13">
        <f>P84+F84</f>
        <v>26.3</v>
      </c>
      <c r="S84" s="13">
        <f>F84+Q84</f>
        <v>27.3</v>
      </c>
      <c r="T84" s="13">
        <f>(R84+S84)/2</f>
        <v>26.8</v>
      </c>
      <c r="U84" s="14">
        <f>ROUND(T84,0)</f>
        <v>27</v>
      </c>
      <c r="V84" s="34">
        <v>0</v>
      </c>
      <c r="W84" s="31">
        <v>98.86</v>
      </c>
      <c r="X84" s="31">
        <v>1.1399999999999999</v>
      </c>
      <c r="Y84" s="31">
        <v>0.91</v>
      </c>
      <c r="Z84" s="31">
        <v>0.52</v>
      </c>
      <c r="AA84" s="34">
        <v>1.1399999999999999</v>
      </c>
      <c r="AB84" s="31">
        <v>0.75</v>
      </c>
      <c r="AC84" s="32">
        <v>1.6165</v>
      </c>
      <c r="AD84" s="33">
        <v>0.13550000000000001</v>
      </c>
      <c r="AE84" s="33">
        <v>0.14449999999999999</v>
      </c>
      <c r="AF84" s="33">
        <v>0.20419999999999999</v>
      </c>
      <c r="AG84" s="33">
        <v>0.219</v>
      </c>
      <c r="AH84" s="33">
        <v>0.2349</v>
      </c>
      <c r="AI84" s="32">
        <v>1.6059000000000001</v>
      </c>
      <c r="AJ84" s="33">
        <v>0.13669999999999999</v>
      </c>
      <c r="AK84" s="33">
        <v>0.1457</v>
      </c>
      <c r="AL84" s="33">
        <v>0.2195</v>
      </c>
      <c r="AM84" s="33">
        <v>0.23530000000000001</v>
      </c>
      <c r="AN84" s="33">
        <v>0.20469999999999999</v>
      </c>
    </row>
    <row r="85" spans="1:42">
      <c r="A85" s="29" t="s">
        <v>107</v>
      </c>
      <c r="B85" s="10">
        <v>2</v>
      </c>
      <c r="C85" s="29" t="s">
        <v>90</v>
      </c>
      <c r="D85" s="30">
        <v>598699.6</v>
      </c>
      <c r="E85" s="30">
        <v>5852493.2999999998</v>
      </c>
      <c r="F85" s="31">
        <v>24.3</v>
      </c>
      <c r="H85" s="29" t="s">
        <v>116</v>
      </c>
      <c r="I85" s="27" t="s">
        <v>61</v>
      </c>
      <c r="J85" s="31">
        <v>3.03</v>
      </c>
      <c r="K85" s="31">
        <v>4</v>
      </c>
      <c r="L85" s="17">
        <f>F85+J85</f>
        <v>27.330000000000002</v>
      </c>
      <c r="M85" s="16">
        <f>F85+K85</f>
        <v>28.3</v>
      </c>
      <c r="N85" s="12">
        <f>(L85+M85)/2</f>
        <v>27.815000000000001</v>
      </c>
      <c r="O85" s="11">
        <f>ROUND(N85,0)</f>
        <v>28</v>
      </c>
      <c r="P85" s="13">
        <v>3</v>
      </c>
      <c r="Q85" s="13">
        <v>4.75</v>
      </c>
      <c r="R85" s="13">
        <f>P85+F85</f>
        <v>27.3</v>
      </c>
      <c r="S85" s="13">
        <f>F85+Q85</f>
        <v>29.05</v>
      </c>
      <c r="T85" s="13">
        <f>(R85+S85)/2</f>
        <v>28.175000000000001</v>
      </c>
      <c r="U85" s="14">
        <f>ROUND(T85,0)</f>
        <v>28</v>
      </c>
      <c r="V85" s="34">
        <v>0</v>
      </c>
      <c r="W85" s="31">
        <v>99.16</v>
      </c>
      <c r="X85" s="31">
        <v>0.84</v>
      </c>
      <c r="Y85" s="31">
        <v>0.83</v>
      </c>
      <c r="Z85" s="31">
        <v>0.51</v>
      </c>
      <c r="AA85" s="34">
        <v>0.84</v>
      </c>
      <c r="AB85" s="31">
        <v>0.52</v>
      </c>
      <c r="AC85" s="32">
        <v>1.5387999999999999</v>
      </c>
      <c r="AD85" s="33">
        <v>0.13389999999999999</v>
      </c>
      <c r="AE85" s="33">
        <v>0.1409</v>
      </c>
      <c r="AF85" s="33">
        <v>0.19320000000000001</v>
      </c>
      <c r="AG85" s="33">
        <v>0.20599999999999999</v>
      </c>
      <c r="AH85" s="33">
        <v>0.21970000000000001</v>
      </c>
      <c r="AI85" s="32">
        <v>1.5335000000000001</v>
      </c>
      <c r="AJ85" s="33">
        <v>0.13450000000000001</v>
      </c>
      <c r="AK85" s="33">
        <v>0.14149999999999999</v>
      </c>
      <c r="AL85" s="33">
        <v>0.20630000000000001</v>
      </c>
      <c r="AM85" s="33">
        <v>0.21990000000000001</v>
      </c>
      <c r="AN85" s="33">
        <v>0.19350000000000001</v>
      </c>
    </row>
    <row r="86" spans="1:42">
      <c r="A86" s="29" t="s">
        <v>107</v>
      </c>
      <c r="B86" s="10">
        <v>2</v>
      </c>
      <c r="C86" s="29" t="s">
        <v>90</v>
      </c>
      <c r="D86" s="30">
        <v>598699.6</v>
      </c>
      <c r="E86" s="30">
        <v>5852493.2999999998</v>
      </c>
      <c r="F86" s="31">
        <v>24.3</v>
      </c>
      <c r="H86" s="29" t="s">
        <v>118</v>
      </c>
      <c r="I86" s="27" t="s">
        <v>62</v>
      </c>
      <c r="J86" s="31">
        <v>5.12</v>
      </c>
      <c r="K86" s="31">
        <v>5.95</v>
      </c>
      <c r="L86" s="17">
        <f>F86+J86</f>
        <v>29.42</v>
      </c>
      <c r="M86" s="16">
        <f>F86+K86</f>
        <v>30.25</v>
      </c>
      <c r="N86" s="12">
        <f>(L86+M86)/2</f>
        <v>29.835000000000001</v>
      </c>
      <c r="O86" s="11">
        <f>ROUND(N86,0)</f>
        <v>30</v>
      </c>
      <c r="P86" s="13">
        <v>4.75</v>
      </c>
      <c r="Q86" s="13">
        <f>K86</f>
        <v>5.95</v>
      </c>
      <c r="R86" s="13">
        <f>P86+F86</f>
        <v>29.05</v>
      </c>
      <c r="S86" s="13">
        <f>F86+Q86</f>
        <v>30.25</v>
      </c>
      <c r="T86" s="13">
        <f>(R86+S86)/2</f>
        <v>29.65</v>
      </c>
      <c r="U86" s="14">
        <f>ROUND(T86,0)</f>
        <v>30</v>
      </c>
      <c r="V86" s="34">
        <v>0.35</v>
      </c>
      <c r="W86" s="31">
        <v>98.88</v>
      </c>
      <c r="X86" s="31">
        <v>0.77</v>
      </c>
      <c r="Y86" s="31">
        <v>0.57999999999999996</v>
      </c>
      <c r="Z86" s="31">
        <v>0.34</v>
      </c>
      <c r="AA86" s="34">
        <v>0.77</v>
      </c>
      <c r="AB86" s="31">
        <v>0.53</v>
      </c>
      <c r="AC86" s="32">
        <v>2.1318000000000001</v>
      </c>
      <c r="AD86" s="33">
        <v>0.1605</v>
      </c>
      <c r="AE86" s="33">
        <v>0.1845</v>
      </c>
      <c r="AF86" s="33">
        <v>0.30409999999999998</v>
      </c>
      <c r="AG86" s="33">
        <v>0.3422</v>
      </c>
      <c r="AH86" s="33">
        <v>0.38519999999999999</v>
      </c>
      <c r="AI86" s="32">
        <v>2.1012</v>
      </c>
      <c r="AJ86" s="33">
        <v>0.1628</v>
      </c>
      <c r="AK86" s="33">
        <v>0.1857</v>
      </c>
      <c r="AL86" s="33">
        <v>0.3422</v>
      </c>
      <c r="AM86" s="33">
        <v>0.38479999999999998</v>
      </c>
      <c r="AN86" s="33">
        <v>0.3044</v>
      </c>
    </row>
    <row r="87" spans="1:42">
      <c r="A87" s="29" t="s">
        <v>108</v>
      </c>
      <c r="B87" s="10">
        <v>2</v>
      </c>
      <c r="C87" s="29" t="s">
        <v>91</v>
      </c>
      <c r="D87" s="30">
        <v>597729.19999999995</v>
      </c>
      <c r="E87" s="30">
        <v>5853479</v>
      </c>
      <c r="F87" s="31">
        <v>24.3</v>
      </c>
      <c r="H87" s="29" t="s">
        <v>111</v>
      </c>
      <c r="I87" s="27" t="s">
        <v>65</v>
      </c>
      <c r="J87" s="31">
        <v>0.23</v>
      </c>
      <c r="K87" s="31">
        <v>0.61</v>
      </c>
      <c r="L87" s="17">
        <f>F87+J87</f>
        <v>24.53</v>
      </c>
      <c r="M87" s="16">
        <f>F87+K87</f>
        <v>24.91</v>
      </c>
      <c r="N87" s="12">
        <f>(L87+M87)/2</f>
        <v>24.72</v>
      </c>
      <c r="O87" s="11">
        <f>ROUND(N87,0)</f>
        <v>25</v>
      </c>
      <c r="P87" s="13">
        <v>0</v>
      </c>
      <c r="Q87" s="13">
        <f>K87</f>
        <v>0.61</v>
      </c>
      <c r="R87" s="13">
        <f>P87+F87</f>
        <v>24.3</v>
      </c>
      <c r="S87" s="13">
        <f>F87+Q87</f>
        <v>24.91</v>
      </c>
      <c r="T87" s="13">
        <f>(R87+S87)/2</f>
        <v>24.605</v>
      </c>
      <c r="U87" s="14">
        <f>ROUND(T87,0)</f>
        <v>25</v>
      </c>
      <c r="V87" s="34">
        <v>0.51</v>
      </c>
      <c r="W87" s="31">
        <v>98.24</v>
      </c>
      <c r="X87" s="31">
        <v>1.25</v>
      </c>
      <c r="Y87" s="31">
        <v>0.99</v>
      </c>
      <c r="Z87" s="31">
        <v>0.72</v>
      </c>
      <c r="AA87" s="34">
        <v>1.25</v>
      </c>
      <c r="AB87" s="31">
        <v>0.97</v>
      </c>
      <c r="AC87" s="32">
        <v>1.6149</v>
      </c>
      <c r="AD87" s="33">
        <v>0.1409</v>
      </c>
      <c r="AE87" s="33">
        <v>0.15329999999999999</v>
      </c>
      <c r="AF87" s="33">
        <v>0.21290000000000001</v>
      </c>
      <c r="AG87" s="33">
        <v>0.22750000000000001</v>
      </c>
      <c r="AH87" s="33">
        <v>0.24299999999999999</v>
      </c>
      <c r="AI87" s="32">
        <v>1.5933999999999999</v>
      </c>
      <c r="AJ87" s="33">
        <v>0.14280000000000001</v>
      </c>
      <c r="AK87" s="33">
        <v>0.1552</v>
      </c>
      <c r="AL87" s="33">
        <v>0.2276</v>
      </c>
      <c r="AM87" s="33">
        <v>0.2429</v>
      </c>
      <c r="AN87" s="33">
        <v>0.21329999999999999</v>
      </c>
    </row>
    <row r="88" spans="1:42">
      <c r="A88" s="29" t="s">
        <v>108</v>
      </c>
      <c r="B88" s="10">
        <v>2</v>
      </c>
      <c r="C88" s="29" t="s">
        <v>91</v>
      </c>
      <c r="D88" s="30">
        <v>597729.19999999995</v>
      </c>
      <c r="E88" s="30">
        <v>5853479</v>
      </c>
      <c r="F88" s="31">
        <v>24.3</v>
      </c>
      <c r="H88" s="29" t="s">
        <v>111</v>
      </c>
      <c r="I88" s="27" t="s">
        <v>58</v>
      </c>
      <c r="J88" s="31">
        <v>0.61</v>
      </c>
      <c r="K88" s="31">
        <v>1</v>
      </c>
      <c r="L88" s="17">
        <f>F88+J88</f>
        <v>24.91</v>
      </c>
      <c r="M88" s="16">
        <f>F88+K88</f>
        <v>25.3</v>
      </c>
      <c r="N88" s="12">
        <f>(L88+M88)/2</f>
        <v>25.105</v>
      </c>
      <c r="O88" s="11">
        <f>ROUND(N88,0)</f>
        <v>25</v>
      </c>
      <c r="P88" s="13">
        <f>J88</f>
        <v>0.61</v>
      </c>
      <c r="Q88" s="13">
        <f>K88</f>
        <v>1</v>
      </c>
      <c r="R88" s="13">
        <f>P88+F88</f>
        <v>24.91</v>
      </c>
      <c r="S88" s="13">
        <f>F88+Q88</f>
        <v>25.3</v>
      </c>
      <c r="T88" s="13">
        <f>(R88+S88)/2</f>
        <v>25.105</v>
      </c>
      <c r="U88" s="14">
        <f>ROUND(T88,0)</f>
        <v>25</v>
      </c>
      <c r="V88" s="34">
        <v>0.53</v>
      </c>
      <c r="W88" s="31">
        <v>97.96</v>
      </c>
      <c r="X88" s="31">
        <v>1.52</v>
      </c>
      <c r="Y88" s="31">
        <v>1.4</v>
      </c>
      <c r="Z88" s="31">
        <v>0.8</v>
      </c>
      <c r="AA88" s="34">
        <v>1.52</v>
      </c>
      <c r="AB88" s="31">
        <v>0.91</v>
      </c>
      <c r="AC88" s="32">
        <v>1.607</v>
      </c>
      <c r="AD88" s="33">
        <v>0.14269999999999999</v>
      </c>
      <c r="AE88" s="33">
        <v>0.15629999999999999</v>
      </c>
      <c r="AF88" s="33">
        <v>0.21490000000000001</v>
      </c>
      <c r="AG88" s="33">
        <v>0.2293</v>
      </c>
      <c r="AH88" s="33">
        <v>0.2447</v>
      </c>
      <c r="AI88" s="32">
        <v>1.585</v>
      </c>
      <c r="AJ88" s="33">
        <v>0.1447</v>
      </c>
      <c r="AK88" s="33">
        <v>0.1583</v>
      </c>
      <c r="AL88" s="33">
        <v>0.22939999999999999</v>
      </c>
      <c r="AM88" s="33">
        <v>0.2445</v>
      </c>
      <c r="AN88" s="33">
        <v>0.2152</v>
      </c>
    </row>
    <row r="89" spans="1:42">
      <c r="A89" s="29" t="s">
        <v>108</v>
      </c>
      <c r="B89" s="10">
        <v>2</v>
      </c>
      <c r="C89" s="29" t="s">
        <v>91</v>
      </c>
      <c r="D89" s="30">
        <v>597729.19999999995</v>
      </c>
      <c r="E89" s="30">
        <v>5853479</v>
      </c>
      <c r="F89" s="31">
        <v>24.3</v>
      </c>
      <c r="H89" s="29" t="s">
        <v>112</v>
      </c>
      <c r="I89" s="27" t="s">
        <v>59</v>
      </c>
      <c r="J89" s="31">
        <v>1.1200000000000001</v>
      </c>
      <c r="K89" s="31">
        <v>2</v>
      </c>
      <c r="L89" s="17">
        <f>F89+J89</f>
        <v>25.42</v>
      </c>
      <c r="M89" s="16">
        <f>F89+K89</f>
        <v>26.3</v>
      </c>
      <c r="N89" s="12">
        <f>(L89+M89)/2</f>
        <v>25.86</v>
      </c>
      <c r="O89" s="11">
        <f>ROUND(N89,0)</f>
        <v>26</v>
      </c>
      <c r="P89" s="13">
        <v>1</v>
      </c>
      <c r="Q89" s="13">
        <v>2.38</v>
      </c>
      <c r="R89" s="13">
        <f>P89+F89</f>
        <v>25.3</v>
      </c>
      <c r="S89" s="13">
        <f>F89+Q89</f>
        <v>26.68</v>
      </c>
      <c r="T89" s="13">
        <f>(R89+S89)/2</f>
        <v>25.990000000000002</v>
      </c>
      <c r="U89" s="14">
        <f>ROUND(T89,0)</f>
        <v>26</v>
      </c>
      <c r="V89" s="34">
        <v>1.1200000000000001</v>
      </c>
      <c r="W89" s="31">
        <v>97.31</v>
      </c>
      <c r="X89" s="31">
        <v>1.57</v>
      </c>
      <c r="Y89" s="31">
        <v>1.35</v>
      </c>
      <c r="Z89" s="31">
        <v>0.91</v>
      </c>
      <c r="AA89" s="34">
        <v>1.57</v>
      </c>
      <c r="AB89" s="31">
        <v>1.1399999999999999</v>
      </c>
      <c r="AC89" s="32">
        <v>1.6829000000000001</v>
      </c>
      <c r="AD89" s="33">
        <v>0.13980000000000001</v>
      </c>
      <c r="AE89" s="33">
        <v>0.1522</v>
      </c>
      <c r="AF89" s="33">
        <v>0.218</v>
      </c>
      <c r="AG89" s="33">
        <v>0.23530000000000001</v>
      </c>
      <c r="AH89" s="33">
        <v>0.25940000000000002</v>
      </c>
      <c r="AI89" s="32">
        <v>1.6544000000000001</v>
      </c>
      <c r="AJ89" s="33">
        <v>0.14199999999999999</v>
      </c>
      <c r="AK89" s="33">
        <v>0.1542</v>
      </c>
      <c r="AL89" s="33">
        <v>0.2349</v>
      </c>
      <c r="AM89" s="33">
        <v>0.25740000000000002</v>
      </c>
      <c r="AN89" s="33">
        <v>0.218</v>
      </c>
    </row>
    <row r="90" spans="1:42">
      <c r="A90" s="29" t="s">
        <v>108</v>
      </c>
      <c r="B90" s="10">
        <v>2</v>
      </c>
      <c r="C90" s="29" t="s">
        <v>91</v>
      </c>
      <c r="D90" s="30">
        <v>597729.19999999995</v>
      </c>
      <c r="E90" s="30">
        <v>5853479</v>
      </c>
      <c r="F90" s="31">
        <v>24.3</v>
      </c>
      <c r="H90" s="29" t="s">
        <v>113</v>
      </c>
      <c r="I90" s="27" t="s">
        <v>60</v>
      </c>
      <c r="J90" s="31">
        <v>2.54</v>
      </c>
      <c r="K90" s="31">
        <v>3</v>
      </c>
      <c r="L90" s="17">
        <f>F90+J90</f>
        <v>26.84</v>
      </c>
      <c r="M90" s="16">
        <f>F90+K90</f>
        <v>27.3</v>
      </c>
      <c r="N90" s="12">
        <f>(L90+M90)/2</f>
        <v>27.07</v>
      </c>
      <c r="O90" s="11">
        <f>ROUND(N90,0)</f>
        <v>27</v>
      </c>
      <c r="P90" s="13">
        <v>2.38</v>
      </c>
      <c r="Q90" s="13">
        <f>K90</f>
        <v>3</v>
      </c>
      <c r="R90" s="13">
        <f>P90+F90</f>
        <v>26.68</v>
      </c>
      <c r="S90" s="13">
        <f>F90+Q90</f>
        <v>27.3</v>
      </c>
      <c r="T90" s="13">
        <f>(R90+S90)/2</f>
        <v>26.990000000000002</v>
      </c>
      <c r="U90" s="14">
        <f>ROUND(T90,0)</f>
        <v>27</v>
      </c>
      <c r="V90" s="34">
        <v>0.01</v>
      </c>
      <c r="W90" s="31">
        <v>98.58</v>
      </c>
      <c r="X90" s="31">
        <v>1.41</v>
      </c>
      <c r="Y90" s="31">
        <v>1.02</v>
      </c>
      <c r="Z90" s="31">
        <v>0.52</v>
      </c>
      <c r="AA90" s="34">
        <v>1.41</v>
      </c>
      <c r="AB90" s="31">
        <v>0.92</v>
      </c>
      <c r="AC90" s="32">
        <v>1.8706</v>
      </c>
      <c r="AD90" s="33">
        <v>0.14940000000000001</v>
      </c>
      <c r="AE90" s="33">
        <v>0.1729</v>
      </c>
      <c r="AF90" s="33">
        <v>0.26029999999999998</v>
      </c>
      <c r="AG90" s="33">
        <v>0.27960000000000002</v>
      </c>
      <c r="AH90" s="33">
        <v>0.30030000000000001</v>
      </c>
      <c r="AI90" s="32">
        <v>1.8309</v>
      </c>
      <c r="AJ90" s="33">
        <v>0.15310000000000001</v>
      </c>
      <c r="AK90" s="33">
        <v>0.1769</v>
      </c>
      <c r="AL90" s="33">
        <v>0.28029999999999999</v>
      </c>
      <c r="AM90" s="33">
        <v>0.3009</v>
      </c>
      <c r="AN90" s="33">
        <v>0.2611</v>
      </c>
    </row>
    <row r="91" spans="1:42">
      <c r="A91" s="29" t="s">
        <v>108</v>
      </c>
      <c r="B91" s="10">
        <v>2</v>
      </c>
      <c r="C91" s="29" t="s">
        <v>91</v>
      </c>
      <c r="D91" s="30">
        <v>597729.19999999995</v>
      </c>
      <c r="E91" s="30">
        <v>5853479</v>
      </c>
      <c r="F91" s="31">
        <v>24.3</v>
      </c>
      <c r="H91" s="29" t="s">
        <v>116</v>
      </c>
      <c r="I91" s="27" t="s">
        <v>63</v>
      </c>
      <c r="J91" s="31">
        <v>3.04</v>
      </c>
      <c r="K91" s="31">
        <v>4</v>
      </c>
      <c r="L91" s="17">
        <f>F91+J91</f>
        <v>27.34</v>
      </c>
      <c r="M91" s="16">
        <f>F91+K91</f>
        <v>28.3</v>
      </c>
      <c r="N91" s="12">
        <f>(L91+M91)/2</f>
        <v>27.82</v>
      </c>
      <c r="O91" s="11">
        <f>ROUND(N91,0)</f>
        <v>28</v>
      </c>
      <c r="P91" s="13">
        <v>3</v>
      </c>
      <c r="Q91" s="13">
        <f>K91</f>
        <v>4</v>
      </c>
      <c r="R91" s="13">
        <f>P91+F91</f>
        <v>27.3</v>
      </c>
      <c r="S91" s="13">
        <f>F91+Q91</f>
        <v>28.3</v>
      </c>
      <c r="T91" s="13">
        <f>(R91+S91)/2</f>
        <v>27.8</v>
      </c>
      <c r="U91" s="14">
        <f>ROUND(T91,0)</f>
        <v>28</v>
      </c>
      <c r="V91" s="34">
        <v>0.02</v>
      </c>
      <c r="W91" s="31">
        <v>98.85</v>
      </c>
      <c r="X91" s="31">
        <v>1.1299999999999999</v>
      </c>
      <c r="Y91" s="31">
        <v>0.89</v>
      </c>
      <c r="Z91" s="31">
        <v>0.5</v>
      </c>
      <c r="AA91" s="34">
        <v>1.1299999999999999</v>
      </c>
      <c r="AB91" s="31">
        <v>0.74</v>
      </c>
      <c r="AC91" s="32">
        <v>1.6223000000000001</v>
      </c>
      <c r="AD91" s="33">
        <v>0.14080000000000001</v>
      </c>
      <c r="AE91" s="33">
        <v>0.15340000000000001</v>
      </c>
      <c r="AF91" s="33">
        <v>0.2137</v>
      </c>
      <c r="AG91" s="33">
        <v>0.22839999999999999</v>
      </c>
      <c r="AH91" s="33">
        <v>0.2442</v>
      </c>
      <c r="AI91" s="32">
        <v>1.6071</v>
      </c>
      <c r="AJ91" s="33">
        <v>0.1424</v>
      </c>
      <c r="AK91" s="33">
        <v>0.155</v>
      </c>
      <c r="AL91" s="33">
        <v>0.2288</v>
      </c>
      <c r="AM91" s="33">
        <v>0.2445</v>
      </c>
      <c r="AN91" s="33">
        <v>0.2142</v>
      </c>
      <c r="AO91" s="2"/>
    </row>
    <row r="92" spans="1:42">
      <c r="A92" s="29" t="s">
        <v>108</v>
      </c>
      <c r="B92" s="10">
        <v>2</v>
      </c>
      <c r="C92" s="29" t="s">
        <v>91</v>
      </c>
      <c r="D92" s="30">
        <v>597729.19999999995</v>
      </c>
      <c r="E92" s="30">
        <v>5853479</v>
      </c>
      <c r="F92" s="31">
        <v>24.3</v>
      </c>
      <c r="H92" s="29" t="s">
        <v>117</v>
      </c>
      <c r="I92" s="27" t="s">
        <v>61</v>
      </c>
      <c r="J92" s="31">
        <v>4</v>
      </c>
      <c r="K92" s="31">
        <v>4.92</v>
      </c>
      <c r="L92" s="17">
        <f>F92+J92</f>
        <v>28.3</v>
      </c>
      <c r="M92" s="16">
        <f>F92+K92</f>
        <v>29.22</v>
      </c>
      <c r="N92" s="12">
        <f>(L92+M92)/2</f>
        <v>28.759999999999998</v>
      </c>
      <c r="O92" s="11">
        <f>ROUND(N92,0)</f>
        <v>29</v>
      </c>
      <c r="P92" s="13">
        <f>J92</f>
        <v>4</v>
      </c>
      <c r="Q92" s="13">
        <f>K92</f>
        <v>4.92</v>
      </c>
      <c r="R92" s="13">
        <f>P92+F92</f>
        <v>28.3</v>
      </c>
      <c r="S92" s="13">
        <f>F92+Q92</f>
        <v>29.22</v>
      </c>
      <c r="T92" s="13">
        <f>(R92+S92)/2</f>
        <v>28.759999999999998</v>
      </c>
      <c r="U92" s="14">
        <f>ROUND(T92,0)</f>
        <v>29</v>
      </c>
      <c r="V92" s="34">
        <v>0.19</v>
      </c>
      <c r="W92" s="31">
        <v>98.94</v>
      </c>
      <c r="X92" s="31">
        <v>0.88</v>
      </c>
      <c r="Y92" s="31">
        <v>0.71</v>
      </c>
      <c r="Z92" s="31">
        <v>0.46</v>
      </c>
      <c r="AA92" s="34">
        <v>0.88</v>
      </c>
      <c r="AB92" s="31">
        <v>0.62</v>
      </c>
      <c r="AC92" s="32">
        <v>1.6193</v>
      </c>
      <c r="AD92" s="33">
        <v>0.13780000000000001</v>
      </c>
      <c r="AE92" s="33">
        <v>0.1479</v>
      </c>
      <c r="AF92" s="33">
        <v>0.20830000000000001</v>
      </c>
      <c r="AG92" s="33">
        <v>0.22309999999999999</v>
      </c>
      <c r="AH92" s="33">
        <v>0.23899999999999999</v>
      </c>
      <c r="AI92" s="32">
        <v>1.6084000000000001</v>
      </c>
      <c r="AJ92" s="33">
        <v>0.13880000000000001</v>
      </c>
      <c r="AK92" s="33">
        <v>0.14899999999999999</v>
      </c>
      <c r="AL92" s="33">
        <v>0.2233</v>
      </c>
      <c r="AM92" s="33">
        <v>0.23910000000000001</v>
      </c>
      <c r="AN92" s="33">
        <v>0.20860000000000001</v>
      </c>
      <c r="AP92" s="22"/>
    </row>
    <row r="93" spans="1:42">
      <c r="A93" s="29" t="s">
        <v>109</v>
      </c>
      <c r="B93" s="10">
        <v>2</v>
      </c>
      <c r="C93" s="29" t="s">
        <v>92</v>
      </c>
      <c r="D93" s="30">
        <v>597714</v>
      </c>
      <c r="E93" s="30">
        <v>5852880.4000000004</v>
      </c>
      <c r="F93" s="31">
        <v>24.5</v>
      </c>
      <c r="H93" s="29" t="s">
        <v>111</v>
      </c>
      <c r="I93" s="27" t="s">
        <v>65</v>
      </c>
      <c r="J93" s="31">
        <v>0.12</v>
      </c>
      <c r="K93" s="31">
        <v>0.6</v>
      </c>
      <c r="L93" s="17">
        <f>F93+J93</f>
        <v>24.62</v>
      </c>
      <c r="M93" s="16">
        <f>F93+K93</f>
        <v>25.1</v>
      </c>
      <c r="N93" s="12">
        <f>(L93+M93)/2</f>
        <v>24.86</v>
      </c>
      <c r="O93" s="11">
        <f>ROUND(N93,0)</f>
        <v>25</v>
      </c>
      <c r="P93" s="13">
        <v>0</v>
      </c>
      <c r="Q93" s="13">
        <f>K93</f>
        <v>0.6</v>
      </c>
      <c r="R93" s="13">
        <f>P93+F93</f>
        <v>24.5</v>
      </c>
      <c r="S93" s="13">
        <f>F93+Q93</f>
        <v>25.1</v>
      </c>
      <c r="T93" s="13">
        <f>(R93+S93)/2</f>
        <v>24.8</v>
      </c>
      <c r="U93" s="14">
        <f>ROUND(T93,0)</f>
        <v>25</v>
      </c>
      <c r="V93" s="34">
        <v>0.74</v>
      </c>
      <c r="W93" s="31">
        <v>98.37</v>
      </c>
      <c r="X93" s="31">
        <v>0.89</v>
      </c>
      <c r="Y93" s="31">
        <v>0.77</v>
      </c>
      <c r="Z93" s="31">
        <v>0.64</v>
      </c>
      <c r="AA93" s="34">
        <v>0.89</v>
      </c>
      <c r="AB93" s="31">
        <v>0.77</v>
      </c>
      <c r="AC93" s="32">
        <v>1.6534</v>
      </c>
      <c r="AD93" s="33">
        <v>0.14419999999999999</v>
      </c>
      <c r="AE93" s="33">
        <v>0.15859999999999999</v>
      </c>
      <c r="AF93" s="33">
        <v>0.22159999999999999</v>
      </c>
      <c r="AG93" s="33">
        <v>0.23849999999999999</v>
      </c>
      <c r="AH93" s="33">
        <v>0.26750000000000002</v>
      </c>
      <c r="AI93" s="32">
        <v>1.6325000000000001</v>
      </c>
      <c r="AJ93" s="33">
        <v>0.1459</v>
      </c>
      <c r="AK93" s="33">
        <v>0.16020000000000001</v>
      </c>
      <c r="AL93" s="33">
        <v>0.2382</v>
      </c>
      <c r="AM93" s="33">
        <v>0.2661</v>
      </c>
      <c r="AN93" s="33">
        <v>0.22159999999999999</v>
      </c>
      <c r="AP93" s="22"/>
    </row>
    <row r="94" spans="1:42">
      <c r="A94" s="29" t="s">
        <v>109</v>
      </c>
      <c r="B94" s="10">
        <v>2</v>
      </c>
      <c r="C94" s="29" t="s">
        <v>92</v>
      </c>
      <c r="D94" s="30">
        <v>597714</v>
      </c>
      <c r="E94" s="30">
        <v>5852880.4000000004</v>
      </c>
      <c r="F94" s="31">
        <v>24.5</v>
      </c>
      <c r="H94" s="29" t="s">
        <v>111</v>
      </c>
      <c r="I94" s="27" t="s">
        <v>58</v>
      </c>
      <c r="J94" s="31">
        <v>0.6</v>
      </c>
      <c r="K94" s="31">
        <v>1</v>
      </c>
      <c r="L94" s="17">
        <f>F94+J94</f>
        <v>25.1</v>
      </c>
      <c r="M94" s="16">
        <f>F94+K94</f>
        <v>25.5</v>
      </c>
      <c r="N94" s="12">
        <f>(L94+M94)/2</f>
        <v>25.3</v>
      </c>
      <c r="O94" s="11">
        <f>ROUND(N94,0)</f>
        <v>25</v>
      </c>
      <c r="P94" s="13">
        <f>J94</f>
        <v>0.6</v>
      </c>
      <c r="Q94" s="13">
        <f>K94</f>
        <v>1</v>
      </c>
      <c r="R94" s="13">
        <f>P94+F94</f>
        <v>25.1</v>
      </c>
      <c r="S94" s="13">
        <f>F94+Q94</f>
        <v>25.5</v>
      </c>
      <c r="T94" s="13">
        <f>(R94+S94)/2</f>
        <v>25.3</v>
      </c>
      <c r="U94" s="14">
        <f>ROUND(T94,0)</f>
        <v>25</v>
      </c>
      <c r="V94" s="34">
        <v>0.79</v>
      </c>
      <c r="W94" s="31">
        <v>97.75</v>
      </c>
      <c r="X94" s="31">
        <v>1.46</v>
      </c>
      <c r="Y94" s="31">
        <v>1.31</v>
      </c>
      <c r="Z94" s="31">
        <v>0.82</v>
      </c>
      <c r="AA94" s="34">
        <v>1.46</v>
      </c>
      <c r="AB94" s="31">
        <v>0.97</v>
      </c>
      <c r="AC94" s="32">
        <v>1.6701999999999999</v>
      </c>
      <c r="AD94" s="33">
        <v>0.1406</v>
      </c>
      <c r="AE94" s="33">
        <v>0.1527</v>
      </c>
      <c r="AF94" s="33">
        <v>0.21759999999999999</v>
      </c>
      <c r="AG94" s="33">
        <v>0.23480000000000001</v>
      </c>
      <c r="AH94" s="33">
        <v>0.25729999999999997</v>
      </c>
      <c r="AI94" s="32">
        <v>1.6473</v>
      </c>
      <c r="AJ94" s="33">
        <v>0.1424</v>
      </c>
      <c r="AK94" s="33">
        <v>0.1545</v>
      </c>
      <c r="AL94" s="33">
        <v>0.2346</v>
      </c>
      <c r="AM94" s="33">
        <v>0.25619999999999998</v>
      </c>
      <c r="AN94" s="33">
        <v>0.21779999999999999</v>
      </c>
      <c r="AP94" s="22"/>
    </row>
    <row r="95" spans="1:42">
      <c r="A95" s="29" t="s">
        <v>109</v>
      </c>
      <c r="B95" s="10">
        <v>2</v>
      </c>
      <c r="C95" s="29" t="s">
        <v>92</v>
      </c>
      <c r="D95" s="30">
        <v>597714</v>
      </c>
      <c r="E95" s="30">
        <v>5852880.4000000004</v>
      </c>
      <c r="F95" s="31">
        <v>24.5</v>
      </c>
      <c r="H95" s="29" t="s">
        <v>112</v>
      </c>
      <c r="I95" s="27" t="s">
        <v>60</v>
      </c>
      <c r="J95" s="31">
        <v>1.17</v>
      </c>
      <c r="K95" s="31">
        <v>2</v>
      </c>
      <c r="L95" s="17">
        <f>F95+J95</f>
        <v>25.67</v>
      </c>
      <c r="M95" s="16">
        <f>F95+K95</f>
        <v>26.5</v>
      </c>
      <c r="N95" s="12">
        <f>(L95+M95)/2</f>
        <v>26.085000000000001</v>
      </c>
      <c r="O95" s="11">
        <f>ROUND(N95,0)</f>
        <v>26</v>
      </c>
      <c r="P95" s="13">
        <v>1</v>
      </c>
      <c r="Q95" s="13">
        <v>3.32</v>
      </c>
      <c r="R95" s="13">
        <f>P95+F95</f>
        <v>25.5</v>
      </c>
      <c r="S95" s="13">
        <f>F95+Q95</f>
        <v>27.82</v>
      </c>
      <c r="T95" s="13">
        <f>(R95+S95)/2</f>
        <v>26.66</v>
      </c>
      <c r="U95" s="14">
        <f>ROUND(T95,0)</f>
        <v>27</v>
      </c>
      <c r="V95" s="34">
        <v>0.39</v>
      </c>
      <c r="W95" s="31">
        <v>98.8</v>
      </c>
      <c r="X95" s="31">
        <v>0.82</v>
      </c>
      <c r="Y95" s="31">
        <v>0.81</v>
      </c>
      <c r="Z95" s="31">
        <v>0.52</v>
      </c>
      <c r="AA95" s="34">
        <v>0.82</v>
      </c>
      <c r="AB95" s="31">
        <v>0.52</v>
      </c>
      <c r="AC95" s="32">
        <v>1.6182000000000001</v>
      </c>
      <c r="AD95" s="33">
        <v>0.18770000000000001</v>
      </c>
      <c r="AE95" s="33">
        <v>0.20730000000000001</v>
      </c>
      <c r="AF95" s="33">
        <v>0.28749999999999998</v>
      </c>
      <c r="AG95" s="33">
        <v>0.30370000000000003</v>
      </c>
      <c r="AH95" s="33">
        <v>0.32079999999999997</v>
      </c>
      <c r="AI95" s="32">
        <v>1.6042000000000001</v>
      </c>
      <c r="AJ95" s="33">
        <v>0.1893</v>
      </c>
      <c r="AK95" s="33">
        <v>0.20880000000000001</v>
      </c>
      <c r="AL95" s="33">
        <v>0.30370000000000003</v>
      </c>
      <c r="AM95" s="33">
        <v>0.3206</v>
      </c>
      <c r="AN95" s="33">
        <v>0.28760000000000002</v>
      </c>
      <c r="AP95" s="22"/>
    </row>
    <row r="96" spans="1:42">
      <c r="A96" s="29" t="s">
        <v>109</v>
      </c>
      <c r="B96" s="10">
        <v>2</v>
      </c>
      <c r="C96" s="29" t="s">
        <v>92</v>
      </c>
      <c r="D96" s="30">
        <v>597714</v>
      </c>
      <c r="E96" s="30">
        <v>5852880.4000000004</v>
      </c>
      <c r="F96" s="31">
        <v>24.5</v>
      </c>
      <c r="H96" s="29" t="s">
        <v>116</v>
      </c>
      <c r="I96" s="27" t="s">
        <v>63</v>
      </c>
      <c r="J96" s="31">
        <v>3.32</v>
      </c>
      <c r="K96" s="31">
        <v>4</v>
      </c>
      <c r="L96" s="17">
        <f>F96+J96</f>
        <v>27.82</v>
      </c>
      <c r="M96" s="16">
        <f>F96+K96</f>
        <v>28.5</v>
      </c>
      <c r="N96" s="12">
        <f>(L96+M96)/2</f>
        <v>28.16</v>
      </c>
      <c r="O96" s="11">
        <f>ROUND(N96,0)</f>
        <v>28</v>
      </c>
      <c r="P96" s="13">
        <f>J96</f>
        <v>3.32</v>
      </c>
      <c r="Q96" s="13">
        <f>K96</f>
        <v>4</v>
      </c>
      <c r="R96" s="13">
        <f>P96+F96</f>
        <v>27.82</v>
      </c>
      <c r="S96" s="13">
        <f>F96+Q96</f>
        <v>28.5</v>
      </c>
      <c r="T96" s="13">
        <f>(R96+S96)/2</f>
        <v>28.16</v>
      </c>
      <c r="U96" s="14">
        <f>ROUND(T96,0)</f>
        <v>28</v>
      </c>
      <c r="V96" s="34">
        <v>1</v>
      </c>
      <c r="W96" s="31">
        <v>98.38</v>
      </c>
      <c r="X96" s="31">
        <v>0.61</v>
      </c>
      <c r="Y96" s="31">
        <v>0.49</v>
      </c>
      <c r="Z96" s="31">
        <v>0.32</v>
      </c>
      <c r="AA96" s="34">
        <v>0.61</v>
      </c>
      <c r="AB96" s="31">
        <v>0.45</v>
      </c>
      <c r="AC96" s="32">
        <v>2.1646999999999998</v>
      </c>
      <c r="AD96" s="33">
        <v>0.18609999999999999</v>
      </c>
      <c r="AE96" s="33">
        <v>0.22189999999999999</v>
      </c>
      <c r="AF96" s="33">
        <v>0.36630000000000001</v>
      </c>
      <c r="AG96" s="33">
        <v>0.40289999999999998</v>
      </c>
      <c r="AH96" s="33">
        <v>0.44309999999999999</v>
      </c>
      <c r="AI96" s="32">
        <v>2.1328999999999998</v>
      </c>
      <c r="AJ96" s="33">
        <v>0.18809999999999999</v>
      </c>
      <c r="AK96" s="33">
        <v>0.2238</v>
      </c>
      <c r="AL96" s="33">
        <v>0.4012</v>
      </c>
      <c r="AM96" s="33">
        <v>0.44069999999999998</v>
      </c>
      <c r="AN96" s="33">
        <v>0.36530000000000001</v>
      </c>
    </row>
    <row r="97" spans="1:42">
      <c r="A97" s="29" t="s">
        <v>109</v>
      </c>
      <c r="B97" s="10">
        <v>2</v>
      </c>
      <c r="C97" s="29" t="s">
        <v>92</v>
      </c>
      <c r="D97" s="30">
        <v>597714</v>
      </c>
      <c r="E97" s="30">
        <v>5852880.4000000004</v>
      </c>
      <c r="F97" s="31">
        <v>24.5</v>
      </c>
      <c r="H97" s="29" t="s">
        <v>114</v>
      </c>
      <c r="I97" s="27" t="s">
        <v>61</v>
      </c>
      <c r="J97" s="31">
        <v>4.0999999999999996</v>
      </c>
      <c r="K97" s="31">
        <v>5</v>
      </c>
      <c r="L97" s="17">
        <f>F97+J97</f>
        <v>28.6</v>
      </c>
      <c r="M97" s="16">
        <f>F97+K97</f>
        <v>29.5</v>
      </c>
      <c r="N97" s="12">
        <f>(L97+M97)/2</f>
        <v>29.05</v>
      </c>
      <c r="O97" s="11">
        <f>ROUND(N97,0)</f>
        <v>29</v>
      </c>
      <c r="P97" s="13">
        <v>4</v>
      </c>
      <c r="Q97" s="13">
        <v>5.0999999999999996</v>
      </c>
      <c r="R97" s="13">
        <f>P97+F97</f>
        <v>28.5</v>
      </c>
      <c r="S97" s="13">
        <f>F97+Q97</f>
        <v>29.6</v>
      </c>
      <c r="T97" s="13">
        <f>(R97+S97)/2</f>
        <v>29.05</v>
      </c>
      <c r="U97" s="14">
        <f>ROUND(T97,0)</f>
        <v>29</v>
      </c>
      <c r="V97" s="34">
        <v>0.1</v>
      </c>
      <c r="W97" s="31">
        <v>99.4</v>
      </c>
      <c r="X97" s="31">
        <v>0.5</v>
      </c>
      <c r="Y97" s="31">
        <v>0.38</v>
      </c>
      <c r="Z97" s="31">
        <v>0.28999999999999998</v>
      </c>
      <c r="AA97" s="34">
        <v>0.5</v>
      </c>
      <c r="AB97" s="31">
        <v>0.41</v>
      </c>
      <c r="AC97" s="32">
        <v>2.0223</v>
      </c>
      <c r="AD97" s="33">
        <v>0.1807</v>
      </c>
      <c r="AE97" s="33">
        <v>0.20960000000000001</v>
      </c>
      <c r="AF97" s="33">
        <v>0.33160000000000001</v>
      </c>
      <c r="AG97" s="33">
        <v>0.36549999999999999</v>
      </c>
      <c r="AH97" s="33">
        <v>0.40310000000000001</v>
      </c>
      <c r="AI97" s="32">
        <v>2.0028000000000001</v>
      </c>
      <c r="AJ97" s="33">
        <v>0.1827</v>
      </c>
      <c r="AK97" s="33">
        <v>0.2117</v>
      </c>
      <c r="AL97" s="33">
        <v>0.3659</v>
      </c>
      <c r="AM97" s="33">
        <v>0.40329999999999999</v>
      </c>
      <c r="AN97" s="33">
        <v>0.33210000000000001</v>
      </c>
    </row>
    <row r="98" spans="1:42">
      <c r="A98" s="29" t="s">
        <v>109</v>
      </c>
      <c r="B98" s="10">
        <v>2</v>
      </c>
      <c r="C98" s="29" t="s">
        <v>92</v>
      </c>
      <c r="D98" s="30">
        <v>597714</v>
      </c>
      <c r="E98" s="30">
        <v>5852880.4000000004</v>
      </c>
      <c r="F98" s="31">
        <v>24.5</v>
      </c>
      <c r="H98" s="29" t="s">
        <v>115</v>
      </c>
      <c r="I98" s="27" t="s">
        <v>62</v>
      </c>
      <c r="J98" s="31">
        <v>5</v>
      </c>
      <c r="K98" s="31">
        <v>5.0999999999999996</v>
      </c>
      <c r="L98" s="17">
        <f>F98+J98</f>
        <v>29.5</v>
      </c>
      <c r="M98" s="16">
        <f>F98+K98</f>
        <v>29.6</v>
      </c>
      <c r="N98" s="12">
        <f>(L98+M98)/2</f>
        <v>29.55</v>
      </c>
      <c r="O98" s="11">
        <f>ROUND(N98,0)</f>
        <v>30</v>
      </c>
      <c r="P98" s="13">
        <f>J98</f>
        <v>5</v>
      </c>
      <c r="Q98" s="13">
        <f>K98</f>
        <v>5.0999999999999996</v>
      </c>
      <c r="R98" s="13">
        <f>P98+F98</f>
        <v>29.5</v>
      </c>
      <c r="S98" s="13">
        <f>F98+Q98</f>
        <v>29.6</v>
      </c>
      <c r="T98" s="13">
        <f>(R98+S98)/2</f>
        <v>29.55</v>
      </c>
      <c r="U98" s="14">
        <f>ROUND(T98,0)</f>
        <v>30</v>
      </c>
      <c r="V98" s="34">
        <v>0.02</v>
      </c>
      <c r="W98" s="31">
        <v>98.8</v>
      </c>
      <c r="X98" s="31">
        <v>1.17</v>
      </c>
      <c r="Y98" s="31">
        <v>1.08</v>
      </c>
      <c r="Z98" s="31">
        <v>0.57999999999999996</v>
      </c>
      <c r="AA98" s="34">
        <v>1.17</v>
      </c>
      <c r="AB98" s="31">
        <v>0.68</v>
      </c>
      <c r="AC98" s="32">
        <v>2.1848000000000001</v>
      </c>
      <c r="AD98" s="33">
        <v>0.1429</v>
      </c>
      <c r="AE98" s="33">
        <v>0.16009999999999999</v>
      </c>
      <c r="AF98" s="33">
        <v>0.28389999999999999</v>
      </c>
      <c r="AG98" s="33">
        <v>0.31219999999999998</v>
      </c>
      <c r="AH98" s="33">
        <v>0.34339999999999998</v>
      </c>
      <c r="AI98" s="32">
        <v>2.1598999999999999</v>
      </c>
      <c r="AJ98" s="33">
        <v>0.1449</v>
      </c>
      <c r="AK98" s="33">
        <v>0.16220000000000001</v>
      </c>
      <c r="AL98" s="33">
        <v>0.313</v>
      </c>
      <c r="AM98" s="33">
        <v>0.34399999999999997</v>
      </c>
      <c r="AN98" s="33">
        <v>0.2848</v>
      </c>
    </row>
    <row r="99" spans="1:42">
      <c r="A99" s="29" t="s">
        <v>110</v>
      </c>
      <c r="B99" s="10">
        <v>2</v>
      </c>
      <c r="C99" s="29" t="s">
        <v>93</v>
      </c>
      <c r="D99" s="30">
        <v>598906.69999999995</v>
      </c>
      <c r="E99" s="30">
        <v>5851476</v>
      </c>
      <c r="F99" s="31">
        <v>24.3</v>
      </c>
      <c r="H99" s="29" t="s">
        <v>111</v>
      </c>
      <c r="I99" s="27" t="s">
        <v>65</v>
      </c>
      <c r="J99" s="31">
        <v>0.1</v>
      </c>
      <c r="K99" s="31">
        <v>0.55000000000000004</v>
      </c>
      <c r="L99" s="17">
        <f>F99+J99</f>
        <v>24.400000000000002</v>
      </c>
      <c r="M99" s="16">
        <f>F99+K99</f>
        <v>24.85</v>
      </c>
      <c r="N99" s="12">
        <f>(L99+M99)/2</f>
        <v>24.625</v>
      </c>
      <c r="O99" s="11">
        <f>ROUND(N99,0)</f>
        <v>25</v>
      </c>
      <c r="P99" s="13">
        <v>0</v>
      </c>
      <c r="Q99" s="13">
        <f>K99</f>
        <v>0.55000000000000004</v>
      </c>
      <c r="R99" s="13">
        <f>P99+F99</f>
        <v>24.3</v>
      </c>
      <c r="S99" s="13">
        <f>F99+Q99</f>
        <v>24.85</v>
      </c>
      <c r="T99" s="13">
        <f>(R99+S99)/2</f>
        <v>24.575000000000003</v>
      </c>
      <c r="U99" s="14">
        <f>ROUND(T99,0)</f>
        <v>25</v>
      </c>
      <c r="V99" s="34">
        <v>0.03</v>
      </c>
      <c r="W99" s="31">
        <v>99.07</v>
      </c>
      <c r="X99" s="31">
        <v>0.91</v>
      </c>
      <c r="Y99" s="31">
        <v>0.63</v>
      </c>
      <c r="Z99" s="31">
        <v>0.47</v>
      </c>
      <c r="AA99" s="34">
        <v>0.91</v>
      </c>
      <c r="AB99" s="31">
        <v>0.74</v>
      </c>
      <c r="AC99" s="32">
        <v>1.8102</v>
      </c>
      <c r="AD99" s="33">
        <v>0.14929999999999999</v>
      </c>
      <c r="AE99" s="33">
        <v>0.1696</v>
      </c>
      <c r="AF99" s="33">
        <v>0.24099999999999999</v>
      </c>
      <c r="AG99" s="33">
        <v>0.2702</v>
      </c>
      <c r="AH99" s="33">
        <v>0.30840000000000001</v>
      </c>
      <c r="AI99" s="32">
        <v>1.7863</v>
      </c>
      <c r="AJ99" s="33">
        <v>0.15179999999999999</v>
      </c>
      <c r="AK99" s="33">
        <v>0.1724</v>
      </c>
      <c r="AL99" s="33">
        <v>0.2712</v>
      </c>
      <c r="AM99" s="33">
        <v>0.30919999999999997</v>
      </c>
      <c r="AN99" s="33">
        <v>0.24179999999999999</v>
      </c>
    </row>
    <row r="100" spans="1:42">
      <c r="A100" s="29" t="s">
        <v>110</v>
      </c>
      <c r="B100" s="10">
        <v>2</v>
      </c>
      <c r="C100" s="29" t="s">
        <v>93</v>
      </c>
      <c r="D100" s="30">
        <v>598906.69999999995</v>
      </c>
      <c r="E100" s="30">
        <v>5851476</v>
      </c>
      <c r="F100" s="31">
        <v>24.3</v>
      </c>
      <c r="H100" s="29" t="s">
        <v>111</v>
      </c>
      <c r="I100" s="27" t="s">
        <v>58</v>
      </c>
      <c r="J100" s="31">
        <v>0.55000000000000004</v>
      </c>
      <c r="K100" s="31">
        <v>1</v>
      </c>
      <c r="L100" s="17">
        <f>F100+J100</f>
        <v>24.85</v>
      </c>
      <c r="M100" s="16">
        <f>F100+K100</f>
        <v>25.3</v>
      </c>
      <c r="N100" s="12">
        <f>(L100+M100)/2</f>
        <v>25.075000000000003</v>
      </c>
      <c r="O100" s="11">
        <f>ROUND(N100,0)</f>
        <v>25</v>
      </c>
      <c r="P100" s="13">
        <f>J100</f>
        <v>0.55000000000000004</v>
      </c>
      <c r="Q100" s="13">
        <f>K100</f>
        <v>1</v>
      </c>
      <c r="R100" s="13">
        <f>P100+F100</f>
        <v>24.85</v>
      </c>
      <c r="S100" s="13">
        <f>F100+Q100</f>
        <v>25.3</v>
      </c>
      <c r="T100" s="13">
        <f>(R100+S100)/2</f>
        <v>25.075000000000003</v>
      </c>
      <c r="U100" s="14">
        <f>ROUND(T100,0)</f>
        <v>25</v>
      </c>
      <c r="V100" s="34">
        <v>0.05</v>
      </c>
      <c r="W100" s="31">
        <v>98.87</v>
      </c>
      <c r="X100" s="31">
        <v>1.08</v>
      </c>
      <c r="Y100" s="31">
        <v>0.9</v>
      </c>
      <c r="Z100" s="31">
        <v>0.48</v>
      </c>
      <c r="AA100" s="34">
        <v>1.08</v>
      </c>
      <c r="AB100" s="31">
        <v>0.66</v>
      </c>
      <c r="AC100" s="32">
        <v>1.8492</v>
      </c>
      <c r="AD100" s="33">
        <v>0.1522</v>
      </c>
      <c r="AE100" s="33">
        <v>0.17480000000000001</v>
      </c>
      <c r="AF100" s="33">
        <v>0.24890000000000001</v>
      </c>
      <c r="AG100" s="33">
        <v>0.28139999999999998</v>
      </c>
      <c r="AH100" s="33">
        <v>0.31850000000000001</v>
      </c>
      <c r="AI100" s="32">
        <v>1.8245</v>
      </c>
      <c r="AJ100" s="33">
        <v>0.1547</v>
      </c>
      <c r="AK100" s="33">
        <v>0.17749999999999999</v>
      </c>
      <c r="AL100" s="33">
        <v>0.28220000000000001</v>
      </c>
      <c r="AM100" s="33">
        <v>0.31919999999999998</v>
      </c>
      <c r="AN100" s="33">
        <v>0.24959999999999999</v>
      </c>
    </row>
    <row r="101" spans="1:42">
      <c r="A101" s="29" t="s">
        <v>110</v>
      </c>
      <c r="B101" s="10">
        <v>2</v>
      </c>
      <c r="C101" s="29" t="s">
        <v>93</v>
      </c>
      <c r="D101" s="30">
        <v>598906.69999999995</v>
      </c>
      <c r="E101" s="30">
        <v>5851476</v>
      </c>
      <c r="F101" s="31">
        <v>24.3</v>
      </c>
      <c r="H101" s="29" t="s">
        <v>112</v>
      </c>
      <c r="I101" s="27" t="s">
        <v>59</v>
      </c>
      <c r="J101" s="31">
        <v>1.04</v>
      </c>
      <c r="K101" s="31">
        <v>2</v>
      </c>
      <c r="L101" s="17">
        <f>F101+J101</f>
        <v>25.34</v>
      </c>
      <c r="M101" s="16">
        <f>F101+K101</f>
        <v>26.3</v>
      </c>
      <c r="N101" s="12">
        <f>(L101+M101)/2</f>
        <v>25.82</v>
      </c>
      <c r="O101" s="11">
        <f>ROUND(N101,0)</f>
        <v>26</v>
      </c>
      <c r="P101" s="13">
        <v>1</v>
      </c>
      <c r="Q101" s="13">
        <f>K101</f>
        <v>2</v>
      </c>
      <c r="R101" s="13">
        <f>P101+F101</f>
        <v>25.3</v>
      </c>
      <c r="S101" s="13">
        <f>F101+Q101</f>
        <v>26.3</v>
      </c>
      <c r="T101" s="13">
        <f>(R101+S101)/2</f>
        <v>25.8</v>
      </c>
      <c r="U101" s="14">
        <f>ROUND(T101,0)</f>
        <v>26</v>
      </c>
      <c r="V101" s="34">
        <v>1.07</v>
      </c>
      <c r="W101" s="31">
        <v>98.05</v>
      </c>
      <c r="X101" s="31">
        <v>0.88</v>
      </c>
      <c r="Y101" s="31">
        <v>0.72</v>
      </c>
      <c r="Z101" s="31">
        <v>0.42</v>
      </c>
      <c r="AA101" s="34">
        <v>0.88</v>
      </c>
      <c r="AB101" s="31">
        <v>0.57999999999999996</v>
      </c>
      <c r="AC101" s="32">
        <v>1.8622000000000001</v>
      </c>
      <c r="AD101" s="33">
        <v>0.15970000000000001</v>
      </c>
      <c r="AE101" s="33">
        <v>0.18260000000000001</v>
      </c>
      <c r="AF101" s="33">
        <v>0.26490000000000002</v>
      </c>
      <c r="AG101" s="33">
        <v>0.29749999999999999</v>
      </c>
      <c r="AH101" s="33">
        <v>0.33410000000000001</v>
      </c>
      <c r="AI101" s="32">
        <v>1.8283</v>
      </c>
      <c r="AJ101" s="33">
        <v>0.16189999999999999</v>
      </c>
      <c r="AK101" s="33">
        <v>0.1832</v>
      </c>
      <c r="AL101" s="33">
        <v>0.29599999999999999</v>
      </c>
      <c r="AM101" s="33">
        <v>0.33179999999999998</v>
      </c>
      <c r="AN101" s="33">
        <v>0.2641</v>
      </c>
    </row>
    <row r="102" spans="1:42">
      <c r="A102" s="29" t="s">
        <v>110</v>
      </c>
      <c r="B102" s="10">
        <v>2</v>
      </c>
      <c r="C102" s="29" t="s">
        <v>93</v>
      </c>
      <c r="D102" s="30">
        <v>598906.69999999995</v>
      </c>
      <c r="E102" s="30">
        <v>5851476</v>
      </c>
      <c r="F102" s="31">
        <v>24.3</v>
      </c>
      <c r="H102" s="29" t="s">
        <v>113</v>
      </c>
      <c r="I102" s="27" t="s">
        <v>60</v>
      </c>
      <c r="J102" s="31">
        <v>2.2000000000000002</v>
      </c>
      <c r="K102" s="31">
        <v>3</v>
      </c>
      <c r="L102" s="17">
        <f>F102+J102</f>
        <v>26.5</v>
      </c>
      <c r="M102" s="16">
        <f>F102+K102</f>
        <v>27.3</v>
      </c>
      <c r="N102" s="12">
        <f>(L102+M102)/2</f>
        <v>26.9</v>
      </c>
      <c r="O102" s="11">
        <f>ROUND(N102,0)</f>
        <v>27</v>
      </c>
      <c r="P102" s="13">
        <v>2</v>
      </c>
      <c r="Q102" s="13">
        <f>K102</f>
        <v>3</v>
      </c>
      <c r="R102" s="13">
        <f>P102+F102</f>
        <v>26.3</v>
      </c>
      <c r="S102" s="13">
        <f>F102+Q102</f>
        <v>27.3</v>
      </c>
      <c r="T102" s="13">
        <f>(R102+S102)/2</f>
        <v>26.8</v>
      </c>
      <c r="U102" s="14">
        <f>ROUND(T102,0)</f>
        <v>27</v>
      </c>
      <c r="V102" s="34">
        <v>0.2</v>
      </c>
      <c r="W102" s="31">
        <v>98.83</v>
      </c>
      <c r="X102" s="31">
        <v>0.96</v>
      </c>
      <c r="Y102" s="31">
        <v>0.79</v>
      </c>
      <c r="Z102" s="31">
        <v>0.55000000000000004</v>
      </c>
      <c r="AA102" s="34">
        <v>0.96</v>
      </c>
      <c r="AB102" s="31">
        <v>0.73</v>
      </c>
      <c r="AC102" s="32">
        <v>2.1009000000000002</v>
      </c>
      <c r="AD102" s="33">
        <v>0.15049999999999999</v>
      </c>
      <c r="AE102" s="33">
        <v>0.17449999999999999</v>
      </c>
      <c r="AF102" s="33">
        <v>0.29139999999999999</v>
      </c>
      <c r="AG102" s="33">
        <v>0.31609999999999999</v>
      </c>
      <c r="AH102" s="33">
        <v>0.34279999999999999</v>
      </c>
      <c r="AI102" s="32">
        <v>2.0644999999999998</v>
      </c>
      <c r="AJ102" s="33">
        <v>0.15329999999999999</v>
      </c>
      <c r="AK102" s="33">
        <v>0.17749999999999999</v>
      </c>
      <c r="AL102" s="33">
        <v>0.3165</v>
      </c>
      <c r="AM102" s="33">
        <v>0.34300000000000003</v>
      </c>
      <c r="AN102" s="33">
        <v>0.29210000000000003</v>
      </c>
      <c r="AP102" s="22"/>
    </row>
    <row r="103" spans="1:42">
      <c r="A103" s="29" t="s">
        <v>110</v>
      </c>
      <c r="B103" s="10">
        <v>2</v>
      </c>
      <c r="C103" s="29" t="s">
        <v>93</v>
      </c>
      <c r="D103" s="30">
        <v>598906.69999999995</v>
      </c>
      <c r="E103" s="30">
        <v>5851476</v>
      </c>
      <c r="F103" s="31">
        <v>24.3</v>
      </c>
      <c r="H103" s="29" t="s">
        <v>114</v>
      </c>
      <c r="I103" s="27" t="s">
        <v>61</v>
      </c>
      <c r="J103" s="31">
        <v>4.1100000000000003</v>
      </c>
      <c r="K103" s="31">
        <v>5</v>
      </c>
      <c r="L103" s="17">
        <f>F103+J103</f>
        <v>28.41</v>
      </c>
      <c r="M103" s="16">
        <f>F103+K103</f>
        <v>29.3</v>
      </c>
      <c r="N103" s="12">
        <f>(L103+M103)/2</f>
        <v>28.855</v>
      </c>
      <c r="O103" s="11">
        <f>ROUND(N103,0)</f>
        <v>29</v>
      </c>
      <c r="P103" s="13">
        <v>3</v>
      </c>
      <c r="Q103" s="13">
        <f>K103</f>
        <v>5</v>
      </c>
      <c r="R103" s="13">
        <f>P103+F103</f>
        <v>27.3</v>
      </c>
      <c r="S103" s="13">
        <f>F103+Q103</f>
        <v>29.3</v>
      </c>
      <c r="T103" s="13">
        <f>(R103+S103)/2</f>
        <v>28.3</v>
      </c>
      <c r="U103" s="14">
        <f>ROUND(T103,0)</f>
        <v>28</v>
      </c>
      <c r="V103" s="34">
        <v>0.02</v>
      </c>
      <c r="W103" s="31">
        <v>99.53</v>
      </c>
      <c r="X103" s="31">
        <v>0.45</v>
      </c>
      <c r="Y103" s="31">
        <v>0.37</v>
      </c>
      <c r="Z103" s="31">
        <v>0.32</v>
      </c>
      <c r="AA103" s="34">
        <v>0.45</v>
      </c>
      <c r="AB103" s="31">
        <v>0.4</v>
      </c>
      <c r="AC103" s="32">
        <v>1.6019000000000001</v>
      </c>
      <c r="AD103" s="33">
        <v>0.1986</v>
      </c>
      <c r="AE103" s="33">
        <v>0.22270000000000001</v>
      </c>
      <c r="AF103" s="33">
        <v>0.29959999999999998</v>
      </c>
      <c r="AG103" s="33">
        <v>0.31819999999999998</v>
      </c>
      <c r="AH103" s="33">
        <v>0.33800000000000002</v>
      </c>
      <c r="AI103" s="32">
        <v>1.5904</v>
      </c>
      <c r="AJ103" s="33">
        <v>0.20030000000000001</v>
      </c>
      <c r="AK103" s="33">
        <v>0.22439999999999999</v>
      </c>
      <c r="AL103" s="33">
        <v>0.31850000000000001</v>
      </c>
      <c r="AM103" s="33">
        <v>0.33829999999999999</v>
      </c>
      <c r="AN103" s="33">
        <v>0.2999</v>
      </c>
      <c r="AP103" s="22"/>
    </row>
    <row r="104" spans="1:42">
      <c r="A104" s="29" t="s">
        <v>110</v>
      </c>
      <c r="B104" s="10">
        <v>2</v>
      </c>
      <c r="C104" s="29" t="s">
        <v>93</v>
      </c>
      <c r="D104" s="30">
        <v>598906.69999999995</v>
      </c>
      <c r="E104" s="30">
        <v>5851476</v>
      </c>
      <c r="F104" s="31">
        <v>24.3</v>
      </c>
      <c r="H104" s="29" t="s">
        <v>115</v>
      </c>
      <c r="I104" s="27" t="s">
        <v>62</v>
      </c>
      <c r="J104" s="31">
        <v>5</v>
      </c>
      <c r="K104" s="31">
        <v>5.5</v>
      </c>
      <c r="L104" s="17">
        <f>F104+J104</f>
        <v>29.3</v>
      </c>
      <c r="M104" s="16">
        <f>F104+K104</f>
        <v>29.8</v>
      </c>
      <c r="N104" s="12">
        <f>(L104+M104)/2</f>
        <v>29.55</v>
      </c>
      <c r="O104" s="11">
        <f>ROUND(N104,0)</f>
        <v>30</v>
      </c>
      <c r="P104" s="13">
        <f>J104</f>
        <v>5</v>
      </c>
      <c r="Q104" s="13">
        <f>K104</f>
        <v>5.5</v>
      </c>
      <c r="R104" s="13">
        <f>P104+F104</f>
        <v>29.3</v>
      </c>
      <c r="S104" s="13">
        <f>F104+Q104</f>
        <v>29.8</v>
      </c>
      <c r="T104" s="13">
        <f>(R104+S104)/2</f>
        <v>29.55</v>
      </c>
      <c r="U104" s="14">
        <f>ROUND(T104,0)</f>
        <v>30</v>
      </c>
      <c r="V104" s="34">
        <v>0</v>
      </c>
      <c r="W104" s="31">
        <v>99.08</v>
      </c>
      <c r="X104" s="31">
        <v>0.92</v>
      </c>
      <c r="Y104" s="31">
        <v>0.83</v>
      </c>
      <c r="Z104" s="31">
        <v>0.43</v>
      </c>
      <c r="AA104" s="34">
        <v>0.92</v>
      </c>
      <c r="AB104" s="31">
        <v>0.52</v>
      </c>
      <c r="AC104" s="32">
        <v>1.6812</v>
      </c>
      <c r="AD104" s="33">
        <v>0.17660000000000001</v>
      </c>
      <c r="AE104" s="33">
        <v>0.19289999999999999</v>
      </c>
      <c r="AF104" s="33">
        <v>0.27910000000000001</v>
      </c>
      <c r="AG104" s="33">
        <v>0.2969</v>
      </c>
      <c r="AH104" s="33">
        <v>0.316</v>
      </c>
      <c r="AI104" s="32">
        <v>1.6500999999999999</v>
      </c>
      <c r="AJ104" s="33">
        <v>0.1802</v>
      </c>
      <c r="AK104" s="33">
        <v>0.19420000000000001</v>
      </c>
      <c r="AL104" s="33">
        <v>0.29730000000000001</v>
      </c>
      <c r="AM104" s="33">
        <v>0.31630000000000003</v>
      </c>
      <c r="AN104" s="33">
        <v>0.27950000000000003</v>
      </c>
      <c r="AO104" s="2"/>
      <c r="AP104" s="22"/>
    </row>
    <row r="105" spans="1:42" ht="17">
      <c r="A105" t="s">
        <v>121</v>
      </c>
      <c r="B105">
        <v>1</v>
      </c>
      <c r="D105" s="23">
        <v>597569</v>
      </c>
      <c r="E105" s="23">
        <v>5851562</v>
      </c>
      <c r="F105">
        <v>22.5</v>
      </c>
      <c r="I105" s="27" t="s">
        <v>65</v>
      </c>
      <c r="J105">
        <v>0</v>
      </c>
      <c r="K105">
        <v>0.06</v>
      </c>
      <c r="L105" s="17">
        <f>F105+J105</f>
        <v>22.5</v>
      </c>
      <c r="M105" s="16">
        <f>F105+K105</f>
        <v>22.56</v>
      </c>
      <c r="N105" s="12">
        <f>(L105+M105)/2</f>
        <v>22.53</v>
      </c>
      <c r="O105" s="11">
        <f>ROUND(N105,0)</f>
        <v>23</v>
      </c>
      <c r="P105" s="13">
        <f>J105</f>
        <v>0</v>
      </c>
      <c r="Q105" s="13">
        <f>K105</f>
        <v>0.06</v>
      </c>
      <c r="R105" s="13">
        <f>P105+F105</f>
        <v>22.5</v>
      </c>
      <c r="S105" s="13">
        <f>F105+Q105</f>
        <v>22.56</v>
      </c>
      <c r="T105" s="13">
        <f>(R105+S105)/2</f>
        <v>22.53</v>
      </c>
      <c r="U105" s="14">
        <f>ROUND(T105,0)</f>
        <v>23</v>
      </c>
      <c r="V105" s="31"/>
      <c r="W105" s="31"/>
      <c r="X105" s="31"/>
      <c r="Y105" s="31"/>
      <c r="Z105" s="31">
        <v>0.6</v>
      </c>
      <c r="AA105" s="31">
        <v>0.78</v>
      </c>
      <c r="AB105" s="31">
        <v>0.61</v>
      </c>
      <c r="AC105" s="33">
        <v>1.9386000000000001</v>
      </c>
      <c r="AD105" s="33">
        <v>0.21049999999999999</v>
      </c>
      <c r="AE105" s="33">
        <v>0.25209999999999999</v>
      </c>
      <c r="AF105" s="31">
        <v>0.372</v>
      </c>
      <c r="AG105" s="33">
        <v>0.40810000000000002</v>
      </c>
      <c r="AH105" s="33">
        <v>0.4476</v>
      </c>
      <c r="AI105" s="33">
        <v>1.8996999999999999</v>
      </c>
      <c r="AJ105" s="33">
        <v>0.21510000000000001</v>
      </c>
      <c r="AK105" s="33">
        <v>0.25359999999999999</v>
      </c>
      <c r="AL105" s="33">
        <v>0.40860000000000002</v>
      </c>
      <c r="AM105" s="33">
        <v>0.44779999999999998</v>
      </c>
      <c r="AN105" s="33">
        <v>0.37280000000000002</v>
      </c>
      <c r="AP105" s="22"/>
    </row>
    <row r="106" spans="1:42" ht="17">
      <c r="A106" t="s">
        <v>121</v>
      </c>
      <c r="B106">
        <v>1</v>
      </c>
      <c r="D106" s="23">
        <v>597569</v>
      </c>
      <c r="E106" s="23">
        <v>5851562</v>
      </c>
      <c r="F106">
        <v>22.5</v>
      </c>
      <c r="I106" s="27" t="s">
        <v>65</v>
      </c>
      <c r="J106">
        <v>0.06</v>
      </c>
      <c r="K106">
        <v>0.35</v>
      </c>
      <c r="L106" s="17">
        <f>F106+J106</f>
        <v>22.56</v>
      </c>
      <c r="M106" s="16">
        <f>F106+K106</f>
        <v>22.85</v>
      </c>
      <c r="N106" s="12">
        <f>(L106+M106)/2</f>
        <v>22.704999999999998</v>
      </c>
      <c r="O106" s="11">
        <f>ROUND(N106,0)</f>
        <v>23</v>
      </c>
      <c r="P106" s="13">
        <f>J106</f>
        <v>0.06</v>
      </c>
      <c r="Q106" s="13">
        <f>K106</f>
        <v>0.35</v>
      </c>
      <c r="R106" s="13">
        <f>P106+F106</f>
        <v>22.56</v>
      </c>
      <c r="S106" s="13">
        <f>F106+Q106</f>
        <v>22.85</v>
      </c>
      <c r="T106" s="13">
        <f>(R106+S106)/2</f>
        <v>22.704999999999998</v>
      </c>
      <c r="U106" s="14">
        <f>ROUND(T106,0)</f>
        <v>23</v>
      </c>
      <c r="V106" s="31"/>
      <c r="W106" s="31"/>
      <c r="X106" s="31"/>
      <c r="Y106" s="31"/>
      <c r="Z106" s="31">
        <v>0.54</v>
      </c>
      <c r="AA106" s="31">
        <v>0.98</v>
      </c>
      <c r="AB106" s="31">
        <v>0.77</v>
      </c>
      <c r="AC106" s="33">
        <v>2.0926999999999998</v>
      </c>
      <c r="AD106" s="33">
        <v>0.1658</v>
      </c>
      <c r="AE106" s="33">
        <v>0.20030000000000001</v>
      </c>
      <c r="AF106" s="31">
        <v>0.31830000000000003</v>
      </c>
      <c r="AG106" s="33">
        <v>0.34699999999999998</v>
      </c>
      <c r="AH106" s="33">
        <v>0.38669999999999999</v>
      </c>
      <c r="AI106" s="33">
        <v>2.0247999999999999</v>
      </c>
      <c r="AJ106" s="33">
        <v>0.17180000000000001</v>
      </c>
      <c r="AK106" s="33">
        <v>0.20449999999999999</v>
      </c>
      <c r="AL106" s="33">
        <v>0.34789999999999999</v>
      </c>
      <c r="AM106" s="33">
        <v>0.38769999999999999</v>
      </c>
      <c r="AN106" s="33">
        <v>0.31929999999999997</v>
      </c>
      <c r="AP106" s="22"/>
    </row>
    <row r="107" spans="1:42" ht="17">
      <c r="A107" t="s">
        <v>121</v>
      </c>
      <c r="B107">
        <v>1</v>
      </c>
      <c r="D107" s="23">
        <v>597569</v>
      </c>
      <c r="E107" s="23">
        <v>5851562</v>
      </c>
      <c r="F107">
        <v>22.5</v>
      </c>
      <c r="I107" s="27" t="s">
        <v>65</v>
      </c>
      <c r="J107">
        <v>0.35</v>
      </c>
      <c r="K107">
        <v>0.54</v>
      </c>
      <c r="L107" s="17">
        <f>F107+J107</f>
        <v>22.85</v>
      </c>
      <c r="M107" s="16">
        <f>F107+K107</f>
        <v>23.04</v>
      </c>
      <c r="N107" s="12">
        <f>(L107+M107)/2</f>
        <v>22.945</v>
      </c>
      <c r="O107" s="11">
        <f>ROUND(N107,0)</f>
        <v>23</v>
      </c>
      <c r="P107" s="13">
        <f>J107</f>
        <v>0.35</v>
      </c>
      <c r="Q107" s="13">
        <f>K107</f>
        <v>0.54</v>
      </c>
      <c r="R107" s="13">
        <f>P107+F107</f>
        <v>22.85</v>
      </c>
      <c r="S107" s="13">
        <f>F107+Q107</f>
        <v>23.04</v>
      </c>
      <c r="T107" s="13">
        <f>(R107+S107)/2</f>
        <v>22.945</v>
      </c>
      <c r="U107" s="14">
        <f>ROUND(T107,0)</f>
        <v>23</v>
      </c>
      <c r="V107" s="31"/>
      <c r="W107" s="31"/>
      <c r="X107" s="31"/>
      <c r="Y107" s="31"/>
      <c r="Z107" s="31">
        <v>0.6</v>
      </c>
      <c r="AA107" s="31">
        <v>0.93</v>
      </c>
      <c r="AB107" s="31">
        <v>0.73</v>
      </c>
      <c r="AC107" s="33">
        <v>1.7117</v>
      </c>
      <c r="AD107" s="33">
        <v>0.16800000000000001</v>
      </c>
      <c r="AE107" s="33">
        <v>0.1875</v>
      </c>
      <c r="AF107" s="31">
        <v>0.2697</v>
      </c>
      <c r="AG107" s="33">
        <v>0.28760000000000002</v>
      </c>
      <c r="AH107" s="33">
        <v>0.30669999999999997</v>
      </c>
      <c r="AI107" s="33">
        <v>1.6698</v>
      </c>
      <c r="AJ107" s="33">
        <v>0.17249999999999999</v>
      </c>
      <c r="AK107" s="33">
        <v>0.18890000000000001</v>
      </c>
      <c r="AL107" s="33">
        <v>0.28810000000000002</v>
      </c>
      <c r="AM107" s="33">
        <v>0.30709999999999998</v>
      </c>
      <c r="AN107" s="33">
        <v>0.2702</v>
      </c>
      <c r="AP107" s="22"/>
    </row>
    <row r="108" spans="1:42" ht="17">
      <c r="A108" t="s">
        <v>121</v>
      </c>
      <c r="B108">
        <v>1</v>
      </c>
      <c r="D108" s="23">
        <v>597569</v>
      </c>
      <c r="E108" s="23">
        <v>5851562</v>
      </c>
      <c r="F108">
        <v>22.5</v>
      </c>
      <c r="I108" s="27" t="s">
        <v>60</v>
      </c>
      <c r="J108">
        <v>0.54</v>
      </c>
      <c r="K108">
        <v>3</v>
      </c>
      <c r="L108" s="17">
        <f>F108+J108</f>
        <v>23.04</v>
      </c>
      <c r="M108" s="16">
        <f>F108+K108</f>
        <v>25.5</v>
      </c>
      <c r="N108" s="12">
        <f>(L108+M108)/2</f>
        <v>24.27</v>
      </c>
      <c r="O108" s="11">
        <f>ROUND(N108,0)</f>
        <v>24</v>
      </c>
      <c r="P108" s="13">
        <f>J108</f>
        <v>0.54</v>
      </c>
      <c r="Q108" s="13">
        <f>K108</f>
        <v>3</v>
      </c>
      <c r="R108" s="13">
        <f>P108+F108</f>
        <v>23.04</v>
      </c>
      <c r="S108" s="13">
        <f>F108+Q108</f>
        <v>25.5</v>
      </c>
      <c r="T108" s="13">
        <f>(R108+S108)/2</f>
        <v>24.27</v>
      </c>
      <c r="U108" s="14">
        <f>ROUND(T108,0)</f>
        <v>24</v>
      </c>
      <c r="V108" s="31"/>
      <c r="W108" s="31"/>
      <c r="X108" s="31"/>
      <c r="Y108" s="31"/>
      <c r="Z108" s="31">
        <v>0.52</v>
      </c>
      <c r="AA108" s="31">
        <v>1.28</v>
      </c>
      <c r="AB108" s="31">
        <v>1.01</v>
      </c>
      <c r="AC108" s="33">
        <v>1.7493000000000001</v>
      </c>
      <c r="AD108" s="33">
        <v>0.1547</v>
      </c>
      <c r="AE108" s="33">
        <v>0.18010000000000001</v>
      </c>
      <c r="AF108" s="31">
        <v>0.2442</v>
      </c>
      <c r="AG108" s="33">
        <v>0.2707</v>
      </c>
      <c r="AH108" s="33">
        <v>0.30180000000000001</v>
      </c>
      <c r="AI108" s="33">
        <v>1.7081</v>
      </c>
      <c r="AJ108" s="33">
        <v>0.15909999999999999</v>
      </c>
      <c r="AK108" s="33">
        <v>0.18140000000000001</v>
      </c>
      <c r="AL108" s="33">
        <v>0.2717</v>
      </c>
      <c r="AM108" s="33">
        <v>0.30259999999999998</v>
      </c>
      <c r="AN108" s="33">
        <v>0.2452</v>
      </c>
    </row>
    <row r="109" spans="1:42" ht="17">
      <c r="A109" t="s">
        <v>121</v>
      </c>
      <c r="B109">
        <v>1</v>
      </c>
      <c r="D109" s="23">
        <v>597569</v>
      </c>
      <c r="E109" s="23">
        <v>5851562</v>
      </c>
      <c r="F109">
        <v>22.5</v>
      </c>
      <c r="I109" s="27" t="s">
        <v>63</v>
      </c>
      <c r="J109">
        <v>3</v>
      </c>
      <c r="K109">
        <v>3.61</v>
      </c>
      <c r="L109" s="17">
        <f>F109+J109</f>
        <v>25.5</v>
      </c>
      <c r="M109" s="16">
        <f>F109+K109</f>
        <v>26.11</v>
      </c>
      <c r="N109" s="12">
        <f>(L109+M109)/2</f>
        <v>25.805</v>
      </c>
      <c r="O109" s="11">
        <f>ROUND(N109,0)</f>
        <v>26</v>
      </c>
      <c r="P109" s="13">
        <f>J109</f>
        <v>3</v>
      </c>
      <c r="Q109" s="13">
        <f>K109</f>
        <v>3.61</v>
      </c>
      <c r="R109" s="13">
        <f>P109+F109</f>
        <v>25.5</v>
      </c>
      <c r="S109" s="13">
        <f>F109+Q109</f>
        <v>26.11</v>
      </c>
      <c r="T109" s="13">
        <f>(R109+S109)/2</f>
        <v>25.805</v>
      </c>
      <c r="U109" s="14">
        <f>ROUND(T109,0)</f>
        <v>26</v>
      </c>
      <c r="V109" s="31"/>
      <c r="W109" s="31"/>
      <c r="X109" s="31"/>
      <c r="Y109" s="31"/>
      <c r="Z109" s="31">
        <v>0.49</v>
      </c>
      <c r="AA109" s="31">
        <v>1.61</v>
      </c>
      <c r="AB109" s="31">
        <v>1.1100000000000001</v>
      </c>
      <c r="AC109" s="33">
        <v>1.7785</v>
      </c>
      <c r="AD109" s="33">
        <v>0.16120000000000001</v>
      </c>
      <c r="AE109" s="33">
        <v>0.18329999999999999</v>
      </c>
      <c r="AF109" s="31">
        <v>0.25950000000000001</v>
      </c>
      <c r="AG109" s="33">
        <v>0.28670000000000001</v>
      </c>
      <c r="AH109" s="33">
        <v>0.31680000000000003</v>
      </c>
      <c r="AI109" s="33">
        <v>1.7249000000000001</v>
      </c>
      <c r="AJ109" s="33">
        <v>0.1668</v>
      </c>
      <c r="AK109" s="33">
        <v>0.18490000000000001</v>
      </c>
      <c r="AL109" s="33">
        <v>0.28770000000000001</v>
      </c>
      <c r="AM109" s="33">
        <v>0.31740000000000002</v>
      </c>
      <c r="AN109" s="33">
        <v>0.26069999999999999</v>
      </c>
      <c r="AO109" s="2"/>
    </row>
    <row r="110" spans="1:42" ht="17">
      <c r="A110" t="s">
        <v>121</v>
      </c>
      <c r="B110">
        <v>1</v>
      </c>
      <c r="D110" s="23">
        <v>597569</v>
      </c>
      <c r="E110" s="23">
        <v>5851562</v>
      </c>
      <c r="F110">
        <v>22.5</v>
      </c>
      <c r="I110" s="27" t="s">
        <v>63</v>
      </c>
      <c r="J110">
        <v>3.61</v>
      </c>
      <c r="K110">
        <v>3.9</v>
      </c>
      <c r="L110" s="17">
        <f>F110+J110</f>
        <v>26.11</v>
      </c>
      <c r="M110" s="16">
        <f>F110+K110</f>
        <v>26.4</v>
      </c>
      <c r="N110" s="12">
        <f>(L110+M110)/2</f>
        <v>26.254999999999999</v>
      </c>
      <c r="O110" s="11">
        <f>ROUND(N110,0)</f>
        <v>26</v>
      </c>
      <c r="P110" s="13">
        <f>J110</f>
        <v>3.61</v>
      </c>
      <c r="Q110" s="13">
        <f>K110</f>
        <v>3.9</v>
      </c>
      <c r="R110" s="13">
        <f>P110+F110</f>
        <v>26.11</v>
      </c>
      <c r="S110" s="13">
        <f>F110+Q110</f>
        <v>26.4</v>
      </c>
      <c r="T110" s="13">
        <f>(R110+S110)/2</f>
        <v>26.254999999999999</v>
      </c>
      <c r="U110" s="14">
        <f>ROUND(T110,0)</f>
        <v>26</v>
      </c>
      <c r="V110" s="31"/>
      <c r="W110" s="31"/>
      <c r="X110" s="31"/>
      <c r="Y110" s="31"/>
      <c r="Z110" s="31">
        <v>0.95</v>
      </c>
      <c r="AA110" s="31">
        <v>1.74</v>
      </c>
      <c r="AB110" s="31">
        <v>1.35</v>
      </c>
      <c r="AC110" s="33">
        <v>1.7035</v>
      </c>
      <c r="AD110" s="33">
        <v>0.14019999999999999</v>
      </c>
      <c r="AE110" s="33">
        <v>0.1552</v>
      </c>
      <c r="AF110" s="31">
        <v>0.22159999999999999</v>
      </c>
      <c r="AG110" s="33">
        <v>0.23880000000000001</v>
      </c>
      <c r="AH110" s="33">
        <v>0.26350000000000001</v>
      </c>
      <c r="AI110" s="33">
        <v>1.6682999999999999</v>
      </c>
      <c r="AJ110" s="33">
        <v>0.14369999999999999</v>
      </c>
      <c r="AK110" s="33">
        <v>0.1588</v>
      </c>
      <c r="AL110" s="33">
        <v>0.2397</v>
      </c>
      <c r="AM110" s="33">
        <v>0.26469999999999999</v>
      </c>
      <c r="AN110" s="33">
        <v>0.22259999999999999</v>
      </c>
    </row>
    <row r="111" spans="1:42" ht="17">
      <c r="A111" t="s">
        <v>121</v>
      </c>
      <c r="B111">
        <v>1</v>
      </c>
      <c r="D111" s="23">
        <v>597569</v>
      </c>
      <c r="E111" s="23">
        <v>5851562</v>
      </c>
      <c r="F111">
        <v>22.5</v>
      </c>
      <c r="I111" s="27" t="s">
        <v>63</v>
      </c>
      <c r="J111">
        <v>3.9</v>
      </c>
      <c r="K111">
        <v>4</v>
      </c>
      <c r="L111" s="17">
        <f>F111+J111</f>
        <v>26.4</v>
      </c>
      <c r="M111" s="16">
        <f>F111+K111</f>
        <v>26.5</v>
      </c>
      <c r="N111" s="12">
        <f>(L111+M111)/2</f>
        <v>26.45</v>
      </c>
      <c r="O111" s="11">
        <f>ROUND(N111,0)</f>
        <v>26</v>
      </c>
      <c r="P111" s="13">
        <f>J111</f>
        <v>3.9</v>
      </c>
      <c r="Q111" s="13">
        <f>K111</f>
        <v>4</v>
      </c>
      <c r="R111" s="13">
        <f>P111+F111</f>
        <v>26.4</v>
      </c>
      <c r="S111" s="13">
        <f>F111+Q111</f>
        <v>26.5</v>
      </c>
      <c r="T111" s="13">
        <f>(R111+S111)/2</f>
        <v>26.45</v>
      </c>
      <c r="U111" s="14">
        <f>ROUND(T111,0)</f>
        <v>26</v>
      </c>
      <c r="V111" s="31"/>
      <c r="W111" s="31"/>
      <c r="X111" s="31"/>
      <c r="Y111" s="31"/>
      <c r="Z111" s="31">
        <v>1</v>
      </c>
      <c r="AA111" s="31">
        <v>1.73</v>
      </c>
      <c r="AB111" s="31">
        <v>1.42</v>
      </c>
      <c r="AC111" s="33">
        <v>1.6698</v>
      </c>
      <c r="AD111" s="33">
        <v>0.1298</v>
      </c>
      <c r="AE111" s="33">
        <v>0.1376</v>
      </c>
      <c r="AF111" s="31">
        <v>0.1991</v>
      </c>
      <c r="AG111" s="33">
        <v>0.2167</v>
      </c>
      <c r="AH111" s="33">
        <v>0.23580000000000001</v>
      </c>
      <c r="AI111" s="33">
        <v>1.6529</v>
      </c>
      <c r="AJ111" s="33">
        <v>0.13170000000000001</v>
      </c>
      <c r="AK111" s="33">
        <v>0.13950000000000001</v>
      </c>
      <c r="AL111" s="33">
        <v>0.2177</v>
      </c>
      <c r="AM111" s="33">
        <v>0.23669999999999999</v>
      </c>
      <c r="AN111" s="33">
        <v>0.20030000000000001</v>
      </c>
    </row>
    <row r="112" spans="1:42" ht="17">
      <c r="A112" t="s">
        <v>121</v>
      </c>
      <c r="B112">
        <v>1</v>
      </c>
      <c r="D112" s="23">
        <v>597569</v>
      </c>
      <c r="E112" s="23">
        <v>5851562</v>
      </c>
      <c r="F112">
        <v>22.5</v>
      </c>
      <c r="I112" s="19" t="s">
        <v>61</v>
      </c>
      <c r="J112">
        <v>4</v>
      </c>
      <c r="K112">
        <v>4.62</v>
      </c>
      <c r="L112" s="17">
        <f>F112+J112</f>
        <v>26.5</v>
      </c>
      <c r="M112" s="16">
        <f>F112+K112</f>
        <v>27.12</v>
      </c>
      <c r="N112" s="12">
        <f>(L112+M112)/2</f>
        <v>26.810000000000002</v>
      </c>
      <c r="O112" s="11">
        <f>ROUND(N112,0)</f>
        <v>27</v>
      </c>
      <c r="P112" s="13">
        <f>J112</f>
        <v>4</v>
      </c>
      <c r="Q112" s="13">
        <f>K112</f>
        <v>4.62</v>
      </c>
      <c r="R112" s="13">
        <f>P112+F112</f>
        <v>26.5</v>
      </c>
      <c r="S112" s="13">
        <f>F112+Q112</f>
        <v>27.12</v>
      </c>
      <c r="T112" s="13">
        <f>(R112+S112)/2</f>
        <v>26.810000000000002</v>
      </c>
      <c r="U112" s="14">
        <f>ROUND(T112,0)</f>
        <v>27</v>
      </c>
      <c r="V112" s="31"/>
      <c r="W112" s="31"/>
      <c r="X112" s="31"/>
      <c r="Y112" s="31"/>
      <c r="Z112" s="31">
        <v>0.87</v>
      </c>
      <c r="AA112" s="31">
        <v>1.43</v>
      </c>
      <c r="AB112" s="31">
        <v>1.1399999999999999</v>
      </c>
      <c r="AC112" s="33">
        <v>1.5185</v>
      </c>
      <c r="AD112" s="33">
        <v>0.12659999999999999</v>
      </c>
      <c r="AE112" s="33">
        <v>0.13189999999999999</v>
      </c>
      <c r="AF112" s="31">
        <v>0.17510000000000001</v>
      </c>
      <c r="AG112" s="33">
        <v>0.1923</v>
      </c>
      <c r="AH112" s="33">
        <v>0.2127</v>
      </c>
      <c r="AI112" s="33">
        <v>1.5128999999999999</v>
      </c>
      <c r="AJ112" s="33">
        <v>0.12770000000000001</v>
      </c>
      <c r="AK112" s="33">
        <v>0.13289999999999999</v>
      </c>
      <c r="AL112" s="33">
        <v>0.19320000000000001</v>
      </c>
      <c r="AM112" s="33">
        <v>0.21340000000000001</v>
      </c>
      <c r="AN112" s="33">
        <v>0.1759</v>
      </c>
    </row>
    <row r="113" spans="1:41" ht="17">
      <c r="A113" t="s">
        <v>121</v>
      </c>
      <c r="B113">
        <v>1</v>
      </c>
      <c r="D113" s="23">
        <v>597569</v>
      </c>
      <c r="E113" s="23">
        <v>5851562</v>
      </c>
      <c r="F113">
        <v>22.5</v>
      </c>
      <c r="I113" s="19" t="s">
        <v>61</v>
      </c>
      <c r="J113">
        <v>4.62</v>
      </c>
      <c r="K113">
        <v>4.9000000000000004</v>
      </c>
      <c r="L113" s="17">
        <f>F113+J113</f>
        <v>27.12</v>
      </c>
      <c r="M113" s="16">
        <f>F113+K113</f>
        <v>27.4</v>
      </c>
      <c r="N113" s="12">
        <f>(L113+M113)/2</f>
        <v>27.259999999999998</v>
      </c>
      <c r="O113" s="11">
        <f>ROUND(N113,0)</f>
        <v>27</v>
      </c>
      <c r="P113" s="13">
        <f>J113</f>
        <v>4.62</v>
      </c>
      <c r="Q113" s="13">
        <f>K113</f>
        <v>4.9000000000000004</v>
      </c>
      <c r="R113" s="13">
        <f>P113+F113</f>
        <v>27.12</v>
      </c>
      <c r="S113" s="13">
        <f>F113+Q113</f>
        <v>27.4</v>
      </c>
      <c r="T113" s="13">
        <f>(R113+S113)/2</f>
        <v>27.259999999999998</v>
      </c>
      <c r="U113" s="14">
        <f>ROUND(T113,0)</f>
        <v>27</v>
      </c>
      <c r="V113" s="20"/>
      <c r="W113" s="20"/>
      <c r="X113" s="20"/>
      <c r="Y113" s="31"/>
      <c r="Z113" s="31">
        <v>0.64</v>
      </c>
      <c r="AA113" s="31">
        <v>1.62</v>
      </c>
      <c r="AB113" s="31">
        <v>1.31</v>
      </c>
      <c r="AC113" s="33">
        <v>1.9521999999999999</v>
      </c>
      <c r="AD113" s="33">
        <v>0.1414</v>
      </c>
      <c r="AE113" s="33">
        <v>0.15820000000000001</v>
      </c>
      <c r="AF113" s="31">
        <v>0.25490000000000002</v>
      </c>
      <c r="AG113" s="33">
        <v>0.27600000000000002</v>
      </c>
      <c r="AH113" s="33">
        <v>0.2989</v>
      </c>
      <c r="AI113" s="33">
        <v>1.9091</v>
      </c>
      <c r="AJ113" s="33">
        <v>0.1452</v>
      </c>
      <c r="AK113" s="33">
        <v>0.16220000000000001</v>
      </c>
      <c r="AL113" s="33">
        <v>0.2772</v>
      </c>
      <c r="AM113" s="33">
        <v>0.2999</v>
      </c>
      <c r="AN113" s="33">
        <v>0.25619999999999998</v>
      </c>
    </row>
    <row r="114" spans="1:41" ht="17">
      <c r="A114" t="s">
        <v>121</v>
      </c>
      <c r="B114">
        <v>1</v>
      </c>
      <c r="D114" s="23">
        <v>597569</v>
      </c>
      <c r="E114" s="23">
        <v>5851562</v>
      </c>
      <c r="F114">
        <v>22.5</v>
      </c>
      <c r="I114" s="19" t="s">
        <v>61</v>
      </c>
      <c r="J114">
        <v>4.9000000000000004</v>
      </c>
      <c r="K114">
        <v>5</v>
      </c>
      <c r="L114" s="17">
        <f t="shared" ref="L114:L116" si="0">F114+J114</f>
        <v>27.4</v>
      </c>
      <c r="M114" s="16">
        <f t="shared" ref="M114:M116" si="1">F114+K114</f>
        <v>27.5</v>
      </c>
      <c r="N114" s="12">
        <f t="shared" ref="N114:N116" si="2">(L114+M114)/2</f>
        <v>27.45</v>
      </c>
      <c r="O114" s="11">
        <f t="shared" ref="O114:O116" si="3">ROUND(N114,0)</f>
        <v>27</v>
      </c>
      <c r="P114" s="13">
        <f t="shared" ref="P114:Q116" si="4">J114</f>
        <v>4.9000000000000004</v>
      </c>
      <c r="Q114" s="13">
        <f t="shared" si="4"/>
        <v>5</v>
      </c>
      <c r="R114" s="13">
        <f t="shared" ref="R114:R116" si="5">P114+F114</f>
        <v>27.4</v>
      </c>
      <c r="S114" s="13">
        <f t="shared" ref="S114:S116" si="6">F114+Q114</f>
        <v>27.5</v>
      </c>
      <c r="T114" s="13">
        <f t="shared" ref="T114:T116" si="7">(R114+S114)/2</f>
        <v>27.45</v>
      </c>
      <c r="U114" s="14">
        <f t="shared" ref="U114:U116" si="8">ROUND(T114,0)</f>
        <v>27</v>
      </c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</row>
    <row r="115" spans="1:41" ht="17">
      <c r="A115" t="s">
        <v>121</v>
      </c>
      <c r="B115">
        <v>1</v>
      </c>
      <c r="D115" s="23">
        <v>597569</v>
      </c>
      <c r="E115" s="23">
        <v>5851562</v>
      </c>
      <c r="F115">
        <v>22.5</v>
      </c>
      <c r="I115" s="19" t="s">
        <v>62</v>
      </c>
      <c r="J115">
        <v>5</v>
      </c>
      <c r="K115">
        <v>5.07</v>
      </c>
      <c r="L115" s="17">
        <f t="shared" si="0"/>
        <v>27.5</v>
      </c>
      <c r="M115" s="16">
        <f t="shared" si="1"/>
        <v>27.57</v>
      </c>
      <c r="N115" s="12">
        <f t="shared" si="2"/>
        <v>27.535</v>
      </c>
      <c r="O115" s="11">
        <f t="shared" si="3"/>
        <v>28</v>
      </c>
      <c r="P115" s="13">
        <f t="shared" si="4"/>
        <v>5</v>
      </c>
      <c r="Q115" s="13">
        <f t="shared" si="4"/>
        <v>5.07</v>
      </c>
      <c r="R115" s="13">
        <f t="shared" si="5"/>
        <v>27.5</v>
      </c>
      <c r="S115" s="13">
        <f t="shared" si="6"/>
        <v>27.57</v>
      </c>
      <c r="T115" s="13">
        <f t="shared" si="7"/>
        <v>27.535</v>
      </c>
      <c r="U115" s="14">
        <f t="shared" si="8"/>
        <v>28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</row>
    <row r="116" spans="1:41" ht="17">
      <c r="A116" t="s">
        <v>121</v>
      </c>
      <c r="B116">
        <v>1</v>
      </c>
      <c r="D116" s="23">
        <v>597569</v>
      </c>
      <c r="E116" s="23">
        <v>5851562</v>
      </c>
      <c r="F116">
        <v>22.5</v>
      </c>
      <c r="I116" s="19" t="s">
        <v>62</v>
      </c>
      <c r="J116">
        <v>5.07</v>
      </c>
      <c r="K116">
        <v>5.72</v>
      </c>
      <c r="L116" s="17">
        <f t="shared" si="0"/>
        <v>27.57</v>
      </c>
      <c r="M116" s="16">
        <f t="shared" si="1"/>
        <v>28.22</v>
      </c>
      <c r="N116" s="12">
        <f t="shared" si="2"/>
        <v>27.895</v>
      </c>
      <c r="O116" s="11">
        <f t="shared" si="3"/>
        <v>28</v>
      </c>
      <c r="P116" s="13">
        <f t="shared" si="4"/>
        <v>5.07</v>
      </c>
      <c r="Q116" s="13">
        <f t="shared" si="4"/>
        <v>5.72</v>
      </c>
      <c r="R116" s="13">
        <f t="shared" si="5"/>
        <v>27.57</v>
      </c>
      <c r="S116" s="13">
        <f t="shared" si="6"/>
        <v>28.22</v>
      </c>
      <c r="T116" s="13">
        <f t="shared" si="7"/>
        <v>27.895</v>
      </c>
      <c r="U116" s="14">
        <f t="shared" si="8"/>
        <v>28</v>
      </c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"/>
    </row>
    <row r="117" spans="1:41">
      <c r="A117" s="19"/>
      <c r="B117" s="10"/>
      <c r="C117" s="19"/>
      <c r="D117" s="19"/>
      <c r="E117" s="19"/>
      <c r="F117" s="19"/>
      <c r="H117" s="19"/>
      <c r="L117" s="17"/>
      <c r="M117" s="16"/>
      <c r="N117" s="12"/>
      <c r="O117" s="11"/>
      <c r="P117" s="13"/>
      <c r="Q117" s="13"/>
      <c r="R117" s="13"/>
      <c r="S117" s="13"/>
      <c r="T117" s="13"/>
      <c r="U117" s="14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"/>
    </row>
    <row r="118" spans="1:41">
      <c r="A118" s="19"/>
      <c r="B118" s="10"/>
      <c r="C118" s="19"/>
      <c r="D118" s="19"/>
      <c r="E118" s="19"/>
      <c r="F118" s="19"/>
      <c r="G118" s="16"/>
      <c r="H118" s="19"/>
      <c r="L118" s="17"/>
      <c r="M118" s="16"/>
      <c r="N118" s="12"/>
      <c r="O118" s="11"/>
      <c r="P118" s="13"/>
      <c r="Q118" s="13"/>
      <c r="R118" s="13"/>
      <c r="S118" s="13"/>
      <c r="T118" s="13"/>
      <c r="U118" s="14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"/>
    </row>
    <row r="119" spans="1:41">
      <c r="A119" s="19"/>
      <c r="B119" s="10"/>
      <c r="C119" s="19"/>
      <c r="D119" s="19"/>
      <c r="E119" s="19"/>
      <c r="F119" s="19"/>
      <c r="H119" s="19"/>
      <c r="L119" s="17"/>
      <c r="M119" s="16"/>
      <c r="N119" s="12"/>
      <c r="O119" s="11"/>
      <c r="P119" s="13"/>
      <c r="Q119" s="13"/>
      <c r="R119" s="13"/>
      <c r="S119" s="13"/>
      <c r="T119" s="13"/>
      <c r="U119" s="14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"/>
    </row>
    <row r="120" spans="1:41">
      <c r="A120" s="19"/>
      <c r="B120" s="10"/>
      <c r="C120" s="19"/>
      <c r="D120" s="19"/>
      <c r="E120" s="19"/>
      <c r="F120" s="19"/>
      <c r="H120" s="19"/>
      <c r="L120" s="17"/>
      <c r="M120" s="16"/>
      <c r="N120" s="12"/>
      <c r="O120" s="11"/>
      <c r="P120" s="13"/>
      <c r="Q120" s="13"/>
      <c r="R120" s="13"/>
      <c r="S120" s="13"/>
      <c r="T120" s="13"/>
      <c r="U120" s="14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"/>
    </row>
    <row r="121" spans="1:41">
      <c r="A121" s="19"/>
      <c r="B121" s="10"/>
      <c r="C121" s="19"/>
      <c r="D121" s="19"/>
      <c r="E121" s="19"/>
      <c r="F121" s="19"/>
      <c r="H121" s="19"/>
      <c r="L121" s="17"/>
      <c r="M121" s="16"/>
      <c r="N121" s="12"/>
      <c r="O121" s="11"/>
      <c r="P121" s="13"/>
      <c r="Q121" s="13"/>
      <c r="R121" s="13"/>
      <c r="S121" s="13"/>
      <c r="T121" s="13"/>
      <c r="U121" s="14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"/>
    </row>
    <row r="122" spans="1:41">
      <c r="A122" s="19"/>
      <c r="B122" s="10"/>
      <c r="C122" s="19"/>
      <c r="D122" s="19"/>
      <c r="E122" s="19"/>
      <c r="F122" s="19"/>
      <c r="H122" s="19"/>
      <c r="L122" s="17"/>
      <c r="M122" s="16"/>
      <c r="N122" s="12"/>
      <c r="O122" s="11"/>
      <c r="P122" s="13"/>
      <c r="Q122" s="13"/>
      <c r="R122" s="13"/>
      <c r="S122" s="13"/>
      <c r="T122" s="13"/>
      <c r="U122" s="14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"/>
    </row>
    <row r="123" spans="1:41">
      <c r="A123" s="19"/>
      <c r="B123" s="10"/>
      <c r="C123" s="19"/>
      <c r="D123" s="19"/>
      <c r="E123" s="19"/>
      <c r="F123" s="19"/>
      <c r="H123" s="19"/>
      <c r="L123" s="17"/>
      <c r="M123" s="16"/>
      <c r="N123" s="12"/>
      <c r="O123" s="11"/>
      <c r="P123" s="13"/>
      <c r="Q123" s="13"/>
      <c r="R123" s="13"/>
      <c r="S123" s="13"/>
      <c r="T123" s="13"/>
      <c r="U123" s="14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"/>
    </row>
    <row r="124" spans="1:41">
      <c r="A124" s="19"/>
      <c r="B124" s="10"/>
      <c r="C124" s="19"/>
      <c r="D124" s="19"/>
      <c r="E124" s="19"/>
      <c r="F124" s="19"/>
      <c r="H124" s="19"/>
      <c r="L124" s="17"/>
      <c r="M124" s="16"/>
      <c r="N124" s="12"/>
      <c r="O124" s="11"/>
      <c r="P124" s="13"/>
      <c r="Q124" s="13"/>
      <c r="R124" s="13"/>
      <c r="S124" s="13"/>
      <c r="T124" s="13"/>
      <c r="U124" s="14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"/>
    </row>
    <row r="125" spans="1:41">
      <c r="A125" s="19"/>
      <c r="B125" s="10"/>
      <c r="C125" s="19"/>
      <c r="D125" s="19"/>
      <c r="E125" s="19"/>
      <c r="F125" s="19"/>
      <c r="H125" s="19"/>
      <c r="L125" s="17"/>
      <c r="M125" s="16"/>
      <c r="N125" s="12"/>
      <c r="O125" s="11"/>
      <c r="P125" s="13"/>
      <c r="Q125" s="13"/>
      <c r="R125" s="13"/>
      <c r="S125" s="13"/>
      <c r="T125" s="13"/>
      <c r="U125" s="14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"/>
    </row>
    <row r="126" spans="1:41">
      <c r="A126" s="19"/>
      <c r="B126" s="10"/>
      <c r="C126" s="19"/>
      <c r="D126" s="19"/>
      <c r="E126" s="19"/>
      <c r="F126" s="19"/>
      <c r="G126" s="16"/>
      <c r="H126" s="19"/>
      <c r="L126" s="17"/>
      <c r="M126" s="16"/>
      <c r="N126" s="12"/>
      <c r="O126" s="11"/>
      <c r="P126" s="13"/>
      <c r="Q126" s="13"/>
      <c r="R126" s="13"/>
      <c r="S126" s="13"/>
      <c r="T126" s="13"/>
      <c r="U126" s="14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"/>
    </row>
    <row r="127" spans="1:41">
      <c r="A127" s="19"/>
      <c r="B127" s="10"/>
      <c r="C127" s="19"/>
      <c r="D127" s="19"/>
      <c r="E127" s="19"/>
      <c r="F127" s="19"/>
      <c r="H127" s="19"/>
      <c r="L127" s="17"/>
      <c r="M127" s="16"/>
      <c r="N127" s="12"/>
      <c r="O127" s="11"/>
      <c r="P127" s="13"/>
      <c r="Q127" s="13"/>
      <c r="R127" s="13"/>
      <c r="S127" s="13"/>
      <c r="T127" s="13"/>
      <c r="U127" s="14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"/>
    </row>
    <row r="128" spans="1:41">
      <c r="A128" s="19"/>
      <c r="B128" s="10"/>
      <c r="C128" s="19"/>
      <c r="D128" s="19"/>
      <c r="E128" s="19"/>
      <c r="F128" s="19"/>
      <c r="H128" s="19"/>
      <c r="L128" s="17"/>
      <c r="M128" s="16"/>
      <c r="N128" s="12"/>
      <c r="O128" s="11"/>
      <c r="P128" s="13"/>
      <c r="Q128" s="13"/>
      <c r="R128" s="13"/>
      <c r="S128" s="13"/>
      <c r="T128" s="13"/>
      <c r="U128" s="14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"/>
    </row>
    <row r="129" spans="1:41">
      <c r="A129" s="19"/>
      <c r="B129" s="10"/>
      <c r="C129" s="19"/>
      <c r="D129" s="19"/>
      <c r="E129" s="19"/>
      <c r="F129" s="19"/>
      <c r="H129" s="19"/>
      <c r="L129" s="17"/>
      <c r="M129" s="16"/>
      <c r="N129" s="12"/>
      <c r="O129" s="11"/>
      <c r="P129" s="13"/>
      <c r="Q129" s="13"/>
      <c r="R129" s="13"/>
      <c r="S129" s="13"/>
      <c r="T129" s="13"/>
      <c r="U129" s="14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"/>
    </row>
    <row r="130" spans="1:41">
      <c r="A130" s="19"/>
      <c r="B130" s="10"/>
      <c r="C130" s="19"/>
      <c r="D130" s="19"/>
      <c r="E130" s="19"/>
      <c r="F130" s="19"/>
      <c r="H130" s="19"/>
      <c r="L130" s="17"/>
      <c r="M130" s="16"/>
      <c r="N130" s="12"/>
      <c r="O130" s="11"/>
      <c r="P130" s="13"/>
      <c r="Q130" s="13"/>
      <c r="R130" s="13"/>
      <c r="S130" s="13"/>
      <c r="T130" s="13"/>
      <c r="U130" s="14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"/>
    </row>
    <row r="131" spans="1:41">
      <c r="A131" s="19"/>
      <c r="B131" s="10"/>
      <c r="C131" s="19"/>
      <c r="D131" s="19"/>
      <c r="E131" s="19"/>
      <c r="F131" s="19"/>
      <c r="H131" s="19"/>
      <c r="L131" s="17"/>
      <c r="M131" s="16"/>
      <c r="N131" s="12"/>
      <c r="O131" s="11"/>
      <c r="P131" s="13"/>
      <c r="Q131" s="13"/>
      <c r="R131" s="13"/>
      <c r="S131" s="13"/>
      <c r="T131" s="13"/>
      <c r="U131" s="14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"/>
    </row>
    <row r="132" spans="1:41">
      <c r="A132" s="19"/>
      <c r="B132" s="10"/>
      <c r="C132" s="19"/>
      <c r="D132" s="19"/>
      <c r="E132" s="19"/>
      <c r="F132" s="19"/>
      <c r="G132" s="16"/>
      <c r="H132" s="19"/>
      <c r="L132" s="17"/>
      <c r="M132" s="16"/>
      <c r="N132" s="12"/>
      <c r="O132" s="11"/>
      <c r="P132" s="13"/>
      <c r="Q132" s="13"/>
      <c r="R132" s="13"/>
      <c r="S132" s="13"/>
      <c r="T132" s="13"/>
      <c r="U132" s="14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"/>
    </row>
    <row r="133" spans="1:41">
      <c r="A133" s="19"/>
      <c r="B133" s="10"/>
      <c r="C133" s="19"/>
      <c r="D133" s="19"/>
      <c r="E133" s="19"/>
      <c r="F133" s="19"/>
      <c r="G133" s="16"/>
      <c r="H133" s="19"/>
      <c r="L133" s="17"/>
      <c r="M133" s="16"/>
      <c r="N133" s="12"/>
      <c r="O133" s="11"/>
      <c r="P133" s="13"/>
      <c r="Q133" s="13"/>
      <c r="R133" s="13"/>
      <c r="S133" s="13"/>
      <c r="T133" s="13"/>
      <c r="U133" s="14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"/>
    </row>
    <row r="134" spans="1:41">
      <c r="A134" s="19"/>
      <c r="B134" s="10"/>
      <c r="C134" s="19"/>
      <c r="D134" s="19"/>
      <c r="E134" s="19"/>
      <c r="F134" s="19"/>
      <c r="G134" s="16"/>
      <c r="H134" s="19"/>
      <c r="L134" s="17"/>
      <c r="M134" s="16"/>
      <c r="N134" s="12"/>
      <c r="O134" s="11"/>
      <c r="P134" s="13"/>
      <c r="Q134" s="13"/>
      <c r="R134" s="13"/>
      <c r="S134" s="13"/>
      <c r="T134" s="13"/>
      <c r="U134" s="14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"/>
    </row>
    <row r="135" spans="1:41">
      <c r="A135" s="19"/>
      <c r="B135" s="10"/>
      <c r="C135" s="19"/>
      <c r="D135" s="19"/>
      <c r="E135" s="19"/>
      <c r="F135" s="19"/>
      <c r="G135" s="16"/>
      <c r="H135" s="19"/>
      <c r="L135" s="17"/>
      <c r="M135" s="16"/>
      <c r="N135" s="12"/>
      <c r="O135" s="11"/>
      <c r="P135" s="13"/>
      <c r="Q135" s="13"/>
      <c r="R135" s="13"/>
      <c r="S135" s="13"/>
      <c r="T135" s="13"/>
      <c r="U135" s="14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"/>
    </row>
    <row r="136" spans="1:41">
      <c r="A136" s="19"/>
      <c r="B136" s="10"/>
      <c r="C136" s="19"/>
      <c r="D136" s="19"/>
      <c r="E136" s="19"/>
      <c r="F136" s="19"/>
      <c r="H136" s="19"/>
      <c r="L136" s="17"/>
      <c r="M136" s="16"/>
      <c r="N136" s="12"/>
      <c r="O136" s="11"/>
      <c r="P136" s="13"/>
      <c r="Q136" s="13"/>
      <c r="R136" s="13"/>
      <c r="S136" s="13"/>
      <c r="T136" s="13"/>
      <c r="U136" s="14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"/>
    </row>
    <row r="137" spans="1:41">
      <c r="A137" s="19"/>
      <c r="B137" s="10"/>
      <c r="C137" s="19"/>
      <c r="D137" s="19"/>
      <c r="E137" s="19"/>
      <c r="F137" s="19"/>
      <c r="H137" s="19"/>
      <c r="L137" s="17"/>
      <c r="M137" s="16"/>
      <c r="N137" s="12"/>
      <c r="O137" s="11"/>
      <c r="P137" s="13"/>
      <c r="Q137" s="13"/>
      <c r="R137" s="13"/>
      <c r="S137" s="13"/>
      <c r="T137" s="13"/>
      <c r="U137" s="14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"/>
    </row>
    <row r="138" spans="1:41">
      <c r="A138" s="19"/>
      <c r="B138" s="10"/>
      <c r="C138" s="19"/>
      <c r="D138" s="19"/>
      <c r="E138" s="19"/>
      <c r="F138" s="19"/>
      <c r="G138" s="16"/>
      <c r="H138" s="19"/>
      <c r="L138" s="17"/>
      <c r="M138" s="16"/>
      <c r="N138" s="12"/>
      <c r="O138" s="11"/>
      <c r="P138" s="13"/>
      <c r="Q138" s="13"/>
      <c r="R138" s="13"/>
      <c r="S138" s="13"/>
      <c r="T138" s="13"/>
      <c r="U138" s="14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"/>
    </row>
    <row r="139" spans="1:41">
      <c r="A139" s="19"/>
      <c r="B139" s="10"/>
      <c r="C139" s="19"/>
      <c r="D139" s="19"/>
      <c r="E139" s="19"/>
      <c r="F139" s="19"/>
      <c r="G139" s="16"/>
      <c r="H139" s="19"/>
      <c r="L139" s="17"/>
      <c r="M139" s="16"/>
      <c r="N139" s="12"/>
      <c r="O139" s="11"/>
      <c r="P139" s="13"/>
      <c r="Q139" s="13"/>
      <c r="R139" s="13"/>
      <c r="S139" s="13"/>
      <c r="T139" s="13"/>
      <c r="U139" s="14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"/>
    </row>
    <row r="140" spans="1:41">
      <c r="A140" s="19"/>
      <c r="B140" s="10"/>
      <c r="C140" s="19"/>
      <c r="D140" s="19"/>
      <c r="E140" s="19"/>
      <c r="F140" s="19"/>
      <c r="H140" s="19"/>
      <c r="L140" s="17"/>
      <c r="M140" s="16"/>
      <c r="N140" s="12"/>
      <c r="O140" s="11"/>
      <c r="P140" s="13"/>
      <c r="Q140" s="13"/>
      <c r="R140" s="13"/>
      <c r="S140" s="13"/>
      <c r="T140" s="13"/>
      <c r="U140" s="14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"/>
    </row>
    <row r="141" spans="1:41">
      <c r="A141" s="19"/>
      <c r="B141" s="10"/>
      <c r="C141" s="19"/>
      <c r="D141" s="19"/>
      <c r="E141" s="19"/>
      <c r="F141" s="19"/>
      <c r="G141" s="16"/>
      <c r="H141" s="19"/>
      <c r="L141" s="17"/>
      <c r="M141" s="16"/>
      <c r="N141" s="12"/>
      <c r="O141" s="11"/>
      <c r="P141" s="13"/>
      <c r="Q141" s="13"/>
      <c r="R141" s="13"/>
      <c r="S141" s="13"/>
      <c r="T141" s="13"/>
      <c r="U141" s="14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"/>
    </row>
    <row r="142" spans="1:41">
      <c r="A142" s="19"/>
      <c r="B142" s="10"/>
      <c r="C142" s="19"/>
      <c r="D142" s="19"/>
      <c r="E142" s="19"/>
      <c r="F142" s="19"/>
      <c r="H142" s="19"/>
      <c r="L142" s="17"/>
      <c r="M142" s="16"/>
      <c r="N142" s="12"/>
      <c r="O142" s="11"/>
      <c r="P142" s="13"/>
      <c r="Q142" s="13"/>
      <c r="R142" s="13"/>
      <c r="S142" s="13"/>
      <c r="T142" s="13"/>
      <c r="U142" s="14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"/>
    </row>
    <row r="143" spans="1:41">
      <c r="A143" s="19"/>
      <c r="B143" s="10"/>
      <c r="C143" s="19"/>
      <c r="D143" s="19"/>
      <c r="E143" s="19"/>
      <c r="F143" s="19"/>
      <c r="G143" s="16"/>
      <c r="H143" s="19"/>
      <c r="L143" s="17"/>
      <c r="M143" s="16"/>
      <c r="N143" s="12"/>
      <c r="O143" s="11"/>
      <c r="P143" s="13"/>
      <c r="Q143" s="13"/>
      <c r="R143" s="13"/>
      <c r="S143" s="13"/>
      <c r="T143" s="13"/>
      <c r="U143" s="14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"/>
    </row>
    <row r="144" spans="1:41">
      <c r="A144" s="19"/>
      <c r="B144" s="10"/>
      <c r="C144" s="19"/>
      <c r="D144" s="19"/>
      <c r="E144" s="19"/>
      <c r="F144" s="19"/>
      <c r="H144" s="19"/>
      <c r="L144" s="17"/>
      <c r="M144" s="16"/>
      <c r="N144" s="12"/>
      <c r="O144" s="11"/>
      <c r="P144" s="13"/>
      <c r="Q144" s="13"/>
      <c r="R144" s="13"/>
      <c r="S144" s="13"/>
      <c r="T144" s="13"/>
      <c r="U144" s="14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"/>
    </row>
    <row r="145" spans="1:41">
      <c r="A145" s="19"/>
      <c r="B145" s="10"/>
      <c r="C145" s="19"/>
      <c r="D145" s="19"/>
      <c r="E145" s="19"/>
      <c r="F145" s="19"/>
      <c r="H145" s="19"/>
      <c r="L145" s="17"/>
      <c r="M145" s="16"/>
      <c r="N145" s="12"/>
      <c r="O145" s="11"/>
      <c r="P145" s="13"/>
      <c r="Q145" s="13"/>
      <c r="R145" s="13"/>
      <c r="S145" s="13"/>
      <c r="T145" s="13"/>
      <c r="U145" s="14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</row>
    <row r="146" spans="1:41">
      <c r="A146" s="19"/>
      <c r="B146" s="10"/>
      <c r="C146" s="19"/>
      <c r="D146" s="19"/>
      <c r="E146" s="19"/>
      <c r="F146" s="19"/>
      <c r="H146" s="19"/>
      <c r="L146" s="17"/>
      <c r="M146" s="16"/>
      <c r="N146" s="12"/>
      <c r="O146" s="11"/>
      <c r="P146" s="13"/>
      <c r="Q146" s="13"/>
      <c r="R146" s="13"/>
      <c r="S146" s="13"/>
      <c r="T146" s="13"/>
      <c r="U146" s="14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5"/>
    </row>
    <row r="147" spans="1:41">
      <c r="A147" s="19"/>
      <c r="B147" s="10"/>
      <c r="C147" s="19"/>
      <c r="D147" s="19"/>
      <c r="E147" s="19"/>
      <c r="F147" s="19"/>
      <c r="H147" s="19"/>
      <c r="L147" s="17"/>
      <c r="M147" s="16"/>
      <c r="N147" s="12"/>
      <c r="O147" s="11"/>
      <c r="P147" s="13"/>
      <c r="Q147" s="13"/>
      <c r="R147" s="13"/>
      <c r="S147" s="13"/>
      <c r="T147" s="13"/>
      <c r="U147" s="14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5"/>
    </row>
    <row r="148" spans="1:41">
      <c r="A148" s="19"/>
      <c r="B148" s="10"/>
      <c r="C148" s="19"/>
      <c r="D148" s="19"/>
      <c r="E148" s="19"/>
      <c r="F148" s="19"/>
      <c r="G148" s="16"/>
      <c r="H148" s="19"/>
      <c r="L148" s="17"/>
      <c r="M148" s="16"/>
      <c r="N148" s="12"/>
      <c r="O148" s="11"/>
      <c r="P148" s="13"/>
      <c r="Q148" s="13"/>
      <c r="R148" s="13"/>
      <c r="S148" s="13"/>
      <c r="T148" s="13"/>
      <c r="U148" s="14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5"/>
    </row>
    <row r="149" spans="1:41">
      <c r="A149" s="19"/>
      <c r="B149" s="10"/>
      <c r="C149" s="19"/>
      <c r="D149" s="19"/>
      <c r="E149" s="19"/>
      <c r="F149" s="19"/>
      <c r="H149" s="19"/>
      <c r="L149" s="17"/>
      <c r="M149" s="16"/>
      <c r="N149" s="12"/>
      <c r="O149" s="11"/>
      <c r="P149" s="13"/>
      <c r="Q149" s="13"/>
      <c r="R149" s="13"/>
      <c r="S149" s="13"/>
      <c r="T149" s="13"/>
      <c r="U149" s="14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5"/>
    </row>
    <row r="150" spans="1:41">
      <c r="A150" s="19"/>
      <c r="B150" s="10"/>
      <c r="C150" s="19"/>
      <c r="D150" s="19"/>
      <c r="E150" s="19"/>
      <c r="F150" s="19"/>
      <c r="H150" s="19"/>
      <c r="L150" s="17"/>
      <c r="M150" s="16"/>
      <c r="N150" s="12"/>
      <c r="O150" s="11"/>
      <c r="P150" s="13"/>
      <c r="Q150" s="13"/>
      <c r="R150" s="13"/>
      <c r="S150" s="13"/>
      <c r="T150" s="13"/>
      <c r="U150" s="14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</row>
    <row r="151" spans="1:41">
      <c r="A151" s="19"/>
      <c r="B151" s="10"/>
      <c r="C151" s="19"/>
      <c r="D151" s="19"/>
      <c r="E151" s="19"/>
      <c r="F151" s="19"/>
      <c r="G151" s="16"/>
      <c r="H151" s="19"/>
      <c r="L151" s="17"/>
      <c r="M151" s="16"/>
      <c r="N151" s="12"/>
      <c r="O151" s="11"/>
      <c r="P151" s="13"/>
      <c r="Q151" s="13"/>
      <c r="R151" s="13"/>
      <c r="S151" s="13"/>
      <c r="T151" s="13"/>
      <c r="U151" s="14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</row>
    <row r="152" spans="1:41">
      <c r="A152" s="19"/>
      <c r="B152" s="10"/>
      <c r="C152" s="19"/>
      <c r="D152" s="19"/>
      <c r="E152" s="19"/>
      <c r="F152" s="19"/>
      <c r="G152" s="16"/>
      <c r="H152" s="19"/>
      <c r="L152" s="17"/>
      <c r="M152" s="16"/>
      <c r="N152" s="12"/>
      <c r="O152" s="11"/>
      <c r="P152" s="13"/>
      <c r="Q152" s="13"/>
      <c r="R152" s="13"/>
      <c r="S152" s="13"/>
      <c r="T152" s="13"/>
      <c r="U152" s="14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</row>
    <row r="153" spans="1:41">
      <c r="A153" s="19"/>
      <c r="B153" s="10"/>
      <c r="C153" s="19"/>
      <c r="D153" s="19"/>
      <c r="E153" s="19"/>
      <c r="F153" s="19"/>
      <c r="H153" s="19"/>
      <c r="L153" s="17"/>
      <c r="M153" s="16"/>
      <c r="N153" s="12"/>
      <c r="O153" s="11"/>
      <c r="P153" s="13"/>
      <c r="Q153" s="13"/>
      <c r="R153" s="13"/>
      <c r="S153" s="13"/>
      <c r="T153" s="13"/>
      <c r="U153" s="14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</row>
    <row r="154" spans="1:41">
      <c r="A154" s="19"/>
      <c r="B154" s="10"/>
      <c r="C154" s="19"/>
      <c r="D154" s="19"/>
      <c r="E154" s="19"/>
      <c r="F154" s="19"/>
      <c r="H154" s="19"/>
      <c r="L154" s="17"/>
      <c r="M154" s="16"/>
      <c r="N154" s="12"/>
      <c r="O154" s="11"/>
      <c r="P154" s="13"/>
      <c r="Q154" s="13"/>
      <c r="R154" s="13"/>
      <c r="S154" s="13"/>
      <c r="T154" s="13"/>
      <c r="U154" s="14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</row>
    <row r="155" spans="1:41">
      <c r="A155" s="19"/>
      <c r="B155" s="10"/>
      <c r="C155" s="19"/>
      <c r="D155" s="19"/>
      <c r="E155" s="19"/>
      <c r="F155" s="19"/>
      <c r="G155" s="16"/>
      <c r="H155" s="19"/>
      <c r="L155" s="17"/>
      <c r="M155" s="16"/>
      <c r="N155" s="12"/>
      <c r="O155" s="11"/>
      <c r="P155" s="13"/>
      <c r="Q155" s="13"/>
      <c r="R155" s="13"/>
      <c r="S155" s="13"/>
      <c r="T155" s="13"/>
      <c r="U155" s="14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</row>
    <row r="156" spans="1:41">
      <c r="A156" s="19"/>
      <c r="B156" s="10"/>
      <c r="C156" s="19"/>
      <c r="D156" s="19"/>
      <c r="E156" s="19"/>
      <c r="F156" s="19"/>
      <c r="H156" s="19"/>
      <c r="L156" s="17"/>
      <c r="M156" s="16"/>
      <c r="N156" s="12"/>
      <c r="O156" s="11"/>
      <c r="P156" s="13"/>
      <c r="Q156" s="13"/>
      <c r="R156" s="13"/>
      <c r="S156" s="13"/>
      <c r="T156" s="13"/>
      <c r="U156" s="14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</row>
    <row r="157" spans="1:41">
      <c r="A157" s="19"/>
      <c r="B157" s="10"/>
      <c r="C157" s="19"/>
      <c r="D157" s="19"/>
      <c r="E157" s="19"/>
      <c r="F157" s="19"/>
      <c r="G157" s="16"/>
      <c r="H157" s="19"/>
      <c r="L157" s="17"/>
      <c r="M157" s="16"/>
      <c r="N157" s="12"/>
      <c r="O157" s="11"/>
      <c r="P157" s="13"/>
      <c r="Q157" s="13"/>
      <c r="R157" s="13"/>
      <c r="S157" s="13"/>
      <c r="T157" s="13"/>
      <c r="U157" s="14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</row>
    <row r="158" spans="1:41">
      <c r="A158" s="19"/>
      <c r="B158" s="10"/>
      <c r="C158" s="19"/>
      <c r="D158" s="19"/>
      <c r="E158" s="19"/>
      <c r="F158" s="19"/>
      <c r="G158" s="16"/>
      <c r="H158" s="19"/>
      <c r="L158" s="17"/>
      <c r="M158" s="16"/>
      <c r="N158" s="12"/>
      <c r="O158" s="11"/>
      <c r="P158" s="13"/>
      <c r="Q158" s="13"/>
      <c r="R158" s="13"/>
      <c r="S158" s="13"/>
      <c r="T158" s="13"/>
      <c r="U158" s="14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</row>
    <row r="159" spans="1:41">
      <c r="A159" s="19"/>
      <c r="B159" s="10"/>
      <c r="C159" s="19"/>
      <c r="D159" s="19"/>
      <c r="E159" s="19"/>
      <c r="F159" s="19"/>
      <c r="H159" s="19"/>
      <c r="L159" s="17"/>
      <c r="M159" s="16"/>
      <c r="N159" s="12"/>
      <c r="O159" s="11"/>
      <c r="P159" s="13"/>
      <c r="Q159" s="13"/>
      <c r="R159" s="13"/>
      <c r="S159" s="13"/>
      <c r="T159" s="13"/>
      <c r="U159" s="14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</row>
    <row r="160" spans="1:41">
      <c r="A160" s="19"/>
      <c r="B160" s="10"/>
      <c r="C160" s="19"/>
      <c r="D160" s="19"/>
      <c r="E160" s="19"/>
      <c r="F160" s="19"/>
      <c r="G160" s="16"/>
      <c r="H160" s="19"/>
      <c r="L160" s="17"/>
      <c r="M160" s="16"/>
      <c r="N160" s="12"/>
      <c r="O160" s="11"/>
      <c r="P160" s="13"/>
      <c r="Q160" s="13"/>
      <c r="R160" s="13"/>
      <c r="S160" s="13"/>
      <c r="T160" s="13"/>
      <c r="U160" s="14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</row>
    <row r="161" spans="1:40">
      <c r="A161" s="19"/>
      <c r="B161" s="10"/>
      <c r="C161" s="19"/>
      <c r="D161" s="19"/>
      <c r="E161" s="19"/>
      <c r="F161" s="19"/>
      <c r="H161" s="19"/>
      <c r="L161" s="17"/>
      <c r="M161" s="16"/>
      <c r="N161" s="12"/>
      <c r="O161" s="11"/>
      <c r="P161" s="13"/>
      <c r="Q161" s="13"/>
      <c r="R161" s="13"/>
      <c r="S161" s="13"/>
      <c r="T161" s="13"/>
      <c r="U161" s="14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</row>
    <row r="162" spans="1:40">
      <c r="A162" s="19"/>
      <c r="B162" s="10"/>
      <c r="C162" s="19"/>
      <c r="D162" s="19"/>
      <c r="E162" s="19"/>
      <c r="F162" s="19"/>
      <c r="H162" s="19"/>
      <c r="L162" s="17"/>
      <c r="M162" s="16"/>
      <c r="N162" s="12"/>
      <c r="O162" s="11"/>
      <c r="P162" s="13"/>
      <c r="Q162" s="13"/>
      <c r="R162" s="13"/>
      <c r="S162" s="13"/>
      <c r="T162" s="13"/>
      <c r="U162" s="14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</row>
    <row r="163" spans="1:40">
      <c r="A163" s="19"/>
      <c r="B163" s="10"/>
      <c r="C163" s="19"/>
      <c r="D163" s="19"/>
      <c r="E163" s="19"/>
      <c r="F163" s="19"/>
      <c r="H163" s="19"/>
      <c r="L163" s="17"/>
      <c r="M163" s="16"/>
      <c r="N163" s="12"/>
      <c r="O163" s="11"/>
      <c r="P163" s="13"/>
      <c r="Q163" s="13"/>
      <c r="R163" s="13"/>
      <c r="S163" s="13"/>
      <c r="T163" s="13"/>
      <c r="U163" s="14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</row>
    <row r="164" spans="1:40">
      <c r="A164" s="19"/>
      <c r="B164" s="10"/>
      <c r="C164" s="19"/>
      <c r="D164" s="19"/>
      <c r="E164" s="19"/>
      <c r="F164" s="19"/>
      <c r="H164" s="19"/>
      <c r="L164" s="17"/>
      <c r="M164" s="16"/>
      <c r="N164" s="12"/>
      <c r="O164" s="11"/>
      <c r="P164" s="13"/>
      <c r="Q164" s="13"/>
      <c r="R164" s="13"/>
      <c r="S164" s="13"/>
      <c r="T164" s="13"/>
      <c r="U164" s="14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</row>
    <row r="165" spans="1:40">
      <c r="A165" s="19"/>
      <c r="B165" s="10"/>
      <c r="C165" s="19"/>
      <c r="D165" s="19"/>
      <c r="E165" s="19"/>
      <c r="F165" s="19"/>
      <c r="H165" s="19"/>
      <c r="L165" s="17"/>
      <c r="M165" s="16"/>
      <c r="N165" s="12"/>
      <c r="O165" s="11"/>
      <c r="P165" s="13"/>
      <c r="Q165" s="13"/>
      <c r="R165" s="13"/>
      <c r="S165" s="13"/>
      <c r="T165" s="13"/>
      <c r="U165" s="14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</row>
    <row r="166" spans="1:40">
      <c r="A166" s="19"/>
      <c r="B166" s="10"/>
      <c r="C166" s="19"/>
      <c r="D166" s="19"/>
      <c r="E166" s="19"/>
      <c r="F166" s="19"/>
      <c r="G166" s="16"/>
      <c r="H166" s="19"/>
      <c r="L166" s="17"/>
      <c r="M166" s="16"/>
      <c r="N166" s="12"/>
      <c r="O166" s="11"/>
      <c r="P166" s="13"/>
      <c r="Q166" s="13"/>
      <c r="R166" s="13"/>
      <c r="S166" s="13"/>
      <c r="T166" s="13"/>
      <c r="U166" s="14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</row>
    <row r="167" spans="1:40">
      <c r="A167" s="19"/>
      <c r="B167" s="10"/>
      <c r="C167" s="19"/>
      <c r="D167" s="19"/>
      <c r="E167" s="19"/>
      <c r="F167" s="19"/>
      <c r="H167" s="19"/>
      <c r="L167" s="17"/>
      <c r="M167" s="16"/>
      <c r="N167" s="12"/>
      <c r="O167" s="11"/>
      <c r="P167" s="13"/>
      <c r="Q167" s="13"/>
      <c r="R167" s="13"/>
      <c r="S167" s="13"/>
      <c r="T167" s="13"/>
      <c r="U167" s="14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</row>
    <row r="168" spans="1:40">
      <c r="A168" s="19"/>
      <c r="B168" s="10"/>
      <c r="C168" s="19"/>
      <c r="D168" s="19"/>
      <c r="E168" s="19"/>
      <c r="F168" s="19"/>
      <c r="H168" s="19"/>
      <c r="L168" s="17"/>
      <c r="M168" s="16"/>
      <c r="N168" s="12"/>
      <c r="O168" s="11"/>
      <c r="P168" s="13"/>
      <c r="Q168" s="13"/>
      <c r="R168" s="13"/>
      <c r="S168" s="13"/>
      <c r="T168" s="13"/>
      <c r="U168" s="14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</row>
    <row r="169" spans="1:40">
      <c r="A169" s="19"/>
      <c r="B169" s="10"/>
      <c r="C169" s="19"/>
      <c r="D169" s="19"/>
      <c r="E169" s="19"/>
      <c r="F169" s="19"/>
      <c r="H169" s="19"/>
      <c r="L169" s="17"/>
      <c r="M169" s="16"/>
      <c r="N169" s="12"/>
      <c r="O169" s="11"/>
      <c r="P169" s="13"/>
      <c r="Q169" s="13"/>
      <c r="R169" s="13"/>
      <c r="S169" s="13"/>
      <c r="T169" s="13"/>
      <c r="U169" s="14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</row>
    <row r="170" spans="1:40">
      <c r="A170" s="19"/>
      <c r="B170" s="10"/>
      <c r="C170" s="19"/>
      <c r="D170" s="19"/>
      <c r="E170" s="19"/>
      <c r="F170" s="19"/>
      <c r="H170" s="19"/>
      <c r="L170" s="17"/>
      <c r="M170" s="16"/>
      <c r="N170" s="12"/>
      <c r="O170" s="11"/>
      <c r="P170" s="13"/>
      <c r="Q170" s="13"/>
      <c r="R170" s="13"/>
      <c r="S170" s="13"/>
      <c r="T170" s="13"/>
      <c r="U170" s="14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</row>
    <row r="171" spans="1:40">
      <c r="A171" s="19"/>
      <c r="B171" s="10"/>
      <c r="C171" s="19"/>
      <c r="D171" s="19"/>
      <c r="E171" s="19"/>
      <c r="F171" s="19"/>
      <c r="G171" s="16"/>
      <c r="H171" s="19"/>
      <c r="L171" s="17"/>
      <c r="M171" s="16"/>
      <c r="N171" s="12"/>
      <c r="O171" s="11"/>
      <c r="P171" s="13"/>
      <c r="Q171" s="13"/>
      <c r="R171" s="13"/>
      <c r="S171" s="13"/>
      <c r="T171" s="13"/>
      <c r="U171" s="14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</row>
    <row r="172" spans="1:40">
      <c r="A172" s="19"/>
      <c r="B172" s="10"/>
      <c r="C172" s="19"/>
      <c r="D172" s="19"/>
      <c r="E172" s="19"/>
      <c r="F172" s="19"/>
      <c r="G172" s="16"/>
      <c r="H172" s="19"/>
      <c r="L172" s="17"/>
      <c r="M172" s="16"/>
      <c r="N172" s="12"/>
      <c r="O172" s="11"/>
      <c r="P172" s="13"/>
      <c r="Q172" s="13"/>
      <c r="R172" s="13"/>
      <c r="S172" s="13"/>
      <c r="T172" s="13"/>
      <c r="U172" s="14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</row>
    <row r="173" spans="1:40">
      <c r="A173" s="19"/>
      <c r="B173" s="10"/>
      <c r="C173" s="19"/>
      <c r="D173" s="19"/>
      <c r="E173" s="19"/>
      <c r="F173" s="19"/>
      <c r="G173" s="16"/>
      <c r="H173" s="19"/>
      <c r="L173" s="17"/>
      <c r="M173" s="16"/>
      <c r="N173" s="12"/>
      <c r="O173" s="11"/>
      <c r="P173" s="13"/>
      <c r="Q173" s="13"/>
      <c r="R173" s="13"/>
      <c r="S173" s="13"/>
      <c r="T173" s="13"/>
      <c r="U173" s="14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</row>
    <row r="174" spans="1:40">
      <c r="A174" s="19"/>
      <c r="B174" s="10"/>
      <c r="C174" s="19"/>
      <c r="D174" s="19"/>
      <c r="E174" s="19"/>
      <c r="F174" s="19"/>
      <c r="H174" s="19"/>
      <c r="L174" s="17"/>
      <c r="M174" s="16"/>
      <c r="N174" s="12"/>
      <c r="O174" s="11"/>
      <c r="P174" s="13"/>
      <c r="Q174" s="13"/>
      <c r="R174" s="13"/>
      <c r="S174" s="13"/>
      <c r="T174" s="13"/>
      <c r="U174" s="14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</row>
    <row r="175" spans="1:40">
      <c r="A175" s="19"/>
      <c r="B175" s="10"/>
      <c r="C175" s="19"/>
      <c r="D175" s="19"/>
      <c r="E175" s="19"/>
      <c r="F175" s="19"/>
      <c r="H175" s="19"/>
      <c r="L175" s="17"/>
      <c r="M175" s="16"/>
      <c r="N175" s="12"/>
      <c r="O175" s="11"/>
      <c r="P175" s="13"/>
      <c r="Q175" s="13"/>
      <c r="R175" s="13"/>
      <c r="S175" s="13"/>
      <c r="T175" s="13"/>
      <c r="U175" s="14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</row>
    <row r="176" spans="1:40">
      <c r="A176" s="19"/>
      <c r="B176" s="10"/>
      <c r="C176" s="19"/>
      <c r="D176" s="19"/>
      <c r="E176" s="19"/>
      <c r="F176" s="19"/>
      <c r="G176" s="16"/>
      <c r="H176" s="19"/>
      <c r="L176" s="17"/>
      <c r="M176" s="16"/>
      <c r="N176" s="12"/>
      <c r="O176" s="11"/>
      <c r="P176" s="13"/>
      <c r="Q176" s="13"/>
      <c r="R176" s="13"/>
      <c r="S176" s="13"/>
      <c r="T176" s="13"/>
      <c r="U176" s="14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</row>
    <row r="177" spans="1:32" ht="17">
      <c r="D177" s="23"/>
      <c r="E177" s="23"/>
      <c r="F177" s="19"/>
      <c r="L177" s="17"/>
      <c r="M177" s="16"/>
      <c r="N177" s="12"/>
      <c r="O177" s="11"/>
      <c r="P177" s="13"/>
      <c r="Q177" s="13"/>
      <c r="R177" s="13"/>
      <c r="S177" s="13"/>
      <c r="T177" s="13"/>
      <c r="U177" s="14"/>
      <c r="Z177" s="20"/>
      <c r="AF177" s="20"/>
    </row>
    <row r="178" spans="1:32" ht="17">
      <c r="D178" s="23"/>
      <c r="E178" s="23"/>
      <c r="F178" s="19"/>
      <c r="L178" s="17"/>
      <c r="M178" s="16"/>
      <c r="N178" s="12"/>
      <c r="O178" s="11"/>
      <c r="P178" s="13"/>
      <c r="Q178" s="13"/>
      <c r="R178" s="13"/>
      <c r="S178" s="13"/>
      <c r="T178" s="13"/>
      <c r="U178" s="14"/>
      <c r="Z178" s="20"/>
      <c r="AF178" s="20"/>
    </row>
    <row r="179" spans="1:32" ht="17">
      <c r="D179" s="23"/>
      <c r="E179" s="23"/>
      <c r="F179" s="19"/>
      <c r="L179" s="17"/>
      <c r="M179" s="16"/>
      <c r="N179" s="12"/>
      <c r="O179" s="11"/>
      <c r="P179" s="13"/>
      <c r="Q179" s="13"/>
      <c r="R179" s="13"/>
      <c r="S179" s="13"/>
      <c r="T179" s="13"/>
      <c r="U179" s="14"/>
      <c r="Z179" s="20"/>
      <c r="AF179" s="20"/>
    </row>
    <row r="180" spans="1:32" ht="17">
      <c r="D180" s="23"/>
      <c r="E180" s="23"/>
      <c r="F180" s="19"/>
      <c r="L180" s="17"/>
      <c r="M180" s="16"/>
      <c r="N180" s="12"/>
      <c r="O180" s="11"/>
      <c r="P180" s="13"/>
      <c r="Q180" s="13"/>
      <c r="R180" s="13"/>
      <c r="S180" s="13"/>
      <c r="T180" s="13"/>
      <c r="U180" s="14"/>
      <c r="Z180" s="20"/>
      <c r="AF180" s="20"/>
    </row>
    <row r="181" spans="1:32" ht="17">
      <c r="D181" s="23"/>
      <c r="E181" s="23"/>
      <c r="F181" s="19"/>
      <c r="L181" s="17"/>
      <c r="M181" s="16"/>
      <c r="N181" s="12"/>
      <c r="O181" s="11"/>
      <c r="P181" s="13"/>
      <c r="Q181" s="13"/>
      <c r="R181" s="13"/>
      <c r="S181" s="13"/>
      <c r="T181" s="13"/>
      <c r="U181" s="14"/>
      <c r="Z181" s="20"/>
      <c r="AF181" s="20"/>
    </row>
    <row r="182" spans="1:32" ht="17">
      <c r="D182" s="23"/>
      <c r="E182" s="23"/>
      <c r="F182" s="19"/>
      <c r="L182" s="17"/>
      <c r="M182" s="16"/>
      <c r="N182" s="12"/>
      <c r="O182" s="11"/>
      <c r="P182" s="13"/>
      <c r="Q182" s="13"/>
      <c r="R182" s="13"/>
      <c r="S182" s="13"/>
      <c r="T182" s="13"/>
      <c r="U182" s="14"/>
      <c r="Z182" s="20"/>
      <c r="AF182" s="20"/>
    </row>
    <row r="183" spans="1:32" ht="17">
      <c r="A183" s="23"/>
      <c r="D183" s="23"/>
      <c r="E183" s="23"/>
      <c r="F183" s="19"/>
      <c r="L183" s="17"/>
      <c r="M183" s="16"/>
      <c r="N183" s="12"/>
      <c r="O183" s="11"/>
      <c r="P183" s="13"/>
      <c r="Q183" s="13"/>
      <c r="R183" s="13"/>
      <c r="S183" s="13"/>
      <c r="T183" s="13"/>
      <c r="U183" s="14"/>
      <c r="Z183" s="20"/>
      <c r="AF183" s="20"/>
    </row>
    <row r="184" spans="1:32" ht="17">
      <c r="A184" s="23"/>
      <c r="D184" s="23"/>
      <c r="E184" s="23"/>
      <c r="F184" s="19"/>
      <c r="L184" s="17"/>
      <c r="M184" s="16"/>
      <c r="N184" s="12"/>
      <c r="O184" s="11"/>
      <c r="P184" s="13"/>
      <c r="Q184" s="13"/>
      <c r="R184" s="13"/>
      <c r="S184" s="13"/>
      <c r="T184" s="13"/>
      <c r="U184" s="14"/>
      <c r="Z184" s="20"/>
      <c r="AF184" s="20"/>
    </row>
    <row r="185" spans="1:32" ht="17">
      <c r="A185" s="23"/>
      <c r="D185" s="23"/>
      <c r="E185" s="23"/>
      <c r="F185" s="19"/>
      <c r="L185" s="17"/>
      <c r="M185" s="16"/>
      <c r="N185" s="12"/>
      <c r="O185" s="11"/>
      <c r="P185" s="13"/>
      <c r="Q185" s="13"/>
      <c r="R185" s="13"/>
      <c r="S185" s="13"/>
      <c r="T185" s="13"/>
      <c r="U185" s="14"/>
      <c r="Z185" s="20"/>
      <c r="AF185" s="20"/>
    </row>
    <row r="186" spans="1:32" ht="17">
      <c r="A186" s="23"/>
      <c r="D186" s="23"/>
      <c r="E186" s="23"/>
      <c r="F186" s="19"/>
      <c r="L186" s="17"/>
      <c r="M186" s="16"/>
      <c r="N186" s="12"/>
      <c r="O186" s="11"/>
      <c r="P186" s="13"/>
      <c r="Q186" s="13"/>
      <c r="R186" s="13"/>
      <c r="S186" s="13"/>
      <c r="T186" s="13"/>
      <c r="U186" s="14"/>
      <c r="Z186" s="20"/>
      <c r="AF186" s="20"/>
    </row>
    <row r="187" spans="1:32" ht="17">
      <c r="A187" s="23"/>
      <c r="D187" s="23"/>
      <c r="E187" s="23"/>
      <c r="F187" s="19"/>
      <c r="L187" s="17"/>
      <c r="M187" s="16"/>
      <c r="N187" s="12"/>
      <c r="O187" s="11"/>
      <c r="P187" s="13"/>
      <c r="Q187" s="13"/>
      <c r="R187" s="13"/>
      <c r="S187" s="13"/>
      <c r="T187" s="13"/>
      <c r="U187" s="14"/>
      <c r="Z187" s="20"/>
      <c r="AF187" s="20"/>
    </row>
    <row r="188" spans="1:32" ht="17">
      <c r="A188" s="23"/>
      <c r="D188" s="23"/>
      <c r="E188" s="23"/>
      <c r="F188" s="19"/>
      <c r="L188" s="17"/>
      <c r="M188" s="16"/>
      <c r="N188" s="12"/>
      <c r="O188" s="11"/>
      <c r="P188" s="13"/>
      <c r="Q188" s="13"/>
      <c r="R188" s="13"/>
      <c r="S188" s="13"/>
      <c r="T188" s="13"/>
      <c r="U188" s="14"/>
    </row>
    <row r="189" spans="1:32" ht="17">
      <c r="A189" s="23"/>
      <c r="D189" s="23"/>
      <c r="E189" s="23"/>
      <c r="F189" s="19"/>
      <c r="L189" s="17"/>
      <c r="M189" s="16"/>
      <c r="N189" s="12"/>
      <c r="O189" s="11"/>
      <c r="P189" s="13"/>
      <c r="Q189" s="13"/>
      <c r="R189" s="13"/>
      <c r="S189" s="13"/>
      <c r="T189" s="13"/>
      <c r="U189" s="14"/>
      <c r="Z189" s="20"/>
      <c r="AF189" s="20"/>
    </row>
    <row r="190" spans="1:32" ht="17">
      <c r="D190" s="23"/>
      <c r="E190" s="23"/>
      <c r="F190" s="19"/>
      <c r="L190" s="17"/>
      <c r="M190" s="16"/>
      <c r="N190" s="12"/>
      <c r="O190" s="11"/>
      <c r="R190" s="13"/>
      <c r="S190" s="13"/>
      <c r="T190" s="13"/>
      <c r="U190" s="14"/>
      <c r="Z190" s="20"/>
      <c r="AF190" s="20"/>
    </row>
    <row r="191" spans="1:32" ht="17">
      <c r="D191" s="23"/>
      <c r="E191" s="23"/>
      <c r="F191" s="19"/>
      <c r="L191" s="17"/>
      <c r="M191" s="16"/>
      <c r="N191" s="12"/>
      <c r="O191" s="11"/>
      <c r="R191" s="13"/>
      <c r="S191" s="13"/>
      <c r="T191" s="13"/>
      <c r="U191" s="14"/>
      <c r="Z191" s="20"/>
      <c r="AF191" s="20"/>
    </row>
    <row r="192" spans="1:32" ht="17">
      <c r="D192" s="23"/>
      <c r="E192" s="23"/>
      <c r="F192" s="19"/>
      <c r="L192" s="17"/>
      <c r="M192" s="16"/>
      <c r="N192" s="12"/>
      <c r="O192" s="11"/>
      <c r="R192" s="13"/>
      <c r="S192" s="13"/>
      <c r="T192" s="13"/>
      <c r="U192" s="14"/>
      <c r="Z192" s="20"/>
      <c r="AF192" s="20"/>
    </row>
    <row r="193" spans="1:32" ht="17">
      <c r="D193" s="23"/>
      <c r="E193" s="23"/>
      <c r="F193" s="19"/>
      <c r="L193" s="17"/>
      <c r="M193" s="16"/>
      <c r="N193" s="12"/>
      <c r="O193" s="11"/>
      <c r="R193" s="13"/>
      <c r="S193" s="13"/>
      <c r="T193" s="13"/>
      <c r="U193" s="14"/>
      <c r="AF193" s="20"/>
    </row>
    <row r="194" spans="1:32" ht="17">
      <c r="D194" s="23"/>
      <c r="E194" s="23"/>
      <c r="F194" s="19"/>
      <c r="L194" s="17"/>
      <c r="M194" s="16"/>
      <c r="N194" s="12"/>
      <c r="O194" s="11"/>
      <c r="R194" s="13"/>
      <c r="S194" s="13"/>
      <c r="T194" s="13"/>
      <c r="U194" s="14"/>
      <c r="Z194" s="20"/>
      <c r="AF194" s="20"/>
    </row>
    <row r="195" spans="1:32" ht="17">
      <c r="D195" s="23"/>
      <c r="E195" s="23"/>
      <c r="F195" s="19"/>
      <c r="L195" s="17"/>
      <c r="M195" s="16"/>
      <c r="N195" s="12"/>
      <c r="O195" s="11"/>
      <c r="R195" s="13"/>
      <c r="S195" s="13"/>
      <c r="T195" s="13"/>
      <c r="U195" s="14"/>
      <c r="Z195" s="20"/>
      <c r="AF195" s="20"/>
    </row>
    <row r="196" spans="1:32" ht="17">
      <c r="D196" s="23"/>
      <c r="E196" s="23"/>
      <c r="F196" s="19"/>
      <c r="L196" s="17"/>
      <c r="M196" s="16"/>
      <c r="N196" s="12"/>
      <c r="O196" s="11"/>
      <c r="R196" s="13"/>
      <c r="S196" s="13"/>
      <c r="T196" s="13"/>
      <c r="U196" s="14"/>
      <c r="Z196" s="20"/>
      <c r="AF196" s="20"/>
    </row>
    <row r="197" spans="1:32" ht="17">
      <c r="A197" s="27"/>
      <c r="B197" s="10"/>
      <c r="D197" s="23"/>
      <c r="E197" s="23"/>
      <c r="F197" s="19"/>
      <c r="L197" s="17"/>
      <c r="M197" s="16"/>
      <c r="N197" s="12"/>
      <c r="O197" s="11"/>
      <c r="R197" s="13"/>
      <c r="S197" s="13"/>
      <c r="T197" s="13"/>
      <c r="U197" s="14"/>
      <c r="V197" s="20"/>
      <c r="W197" s="20"/>
      <c r="X197" s="20"/>
      <c r="Y197" s="25"/>
      <c r="Z197" s="25"/>
      <c r="AF197" s="20"/>
    </row>
    <row r="198" spans="1:32" ht="17">
      <c r="A198" s="27"/>
      <c r="B198" s="10"/>
      <c r="D198" s="23"/>
      <c r="E198" s="23"/>
      <c r="F198" s="19"/>
      <c r="L198" s="17"/>
      <c r="M198" s="16"/>
      <c r="N198" s="12"/>
      <c r="O198" s="11"/>
      <c r="R198" s="13"/>
      <c r="S198" s="13"/>
      <c r="T198" s="13"/>
      <c r="U198" s="14"/>
      <c r="V198" s="20"/>
      <c r="W198" s="20"/>
      <c r="X198" s="20"/>
      <c r="Y198" s="25"/>
      <c r="Z198" s="25"/>
      <c r="AF198" s="20"/>
    </row>
    <row r="199" spans="1:32" ht="17">
      <c r="A199" s="27"/>
      <c r="B199" s="10"/>
      <c r="D199" s="23"/>
      <c r="E199" s="23"/>
      <c r="F199" s="19"/>
      <c r="L199" s="17"/>
      <c r="M199" s="16"/>
      <c r="N199" s="12"/>
      <c r="O199" s="11"/>
      <c r="R199" s="13"/>
      <c r="S199" s="13"/>
      <c r="T199" s="13"/>
      <c r="U199" s="14"/>
      <c r="V199" s="20"/>
      <c r="W199" s="20"/>
      <c r="X199" s="20"/>
      <c r="Y199" s="25"/>
      <c r="Z199" s="25"/>
      <c r="AF199" s="20"/>
    </row>
    <row r="200" spans="1:32" ht="17">
      <c r="A200" s="27"/>
      <c r="B200" s="10"/>
      <c r="D200" s="23"/>
      <c r="E200" s="23"/>
      <c r="F200" s="19"/>
      <c r="L200" s="17"/>
      <c r="M200" s="16"/>
      <c r="N200" s="12"/>
      <c r="O200" s="11"/>
      <c r="R200" s="13"/>
      <c r="S200" s="13"/>
      <c r="T200" s="13"/>
      <c r="U200" s="14"/>
      <c r="V200" s="20"/>
      <c r="W200" s="20"/>
      <c r="X200" s="20"/>
      <c r="Y200" s="25"/>
      <c r="Z200" s="25"/>
      <c r="AF200" s="20"/>
    </row>
    <row r="201" spans="1:32" ht="17">
      <c r="A201" s="27"/>
      <c r="B201" s="10"/>
      <c r="D201" s="23"/>
      <c r="E201" s="23"/>
      <c r="F201" s="19"/>
      <c r="L201" s="17"/>
      <c r="M201" s="16"/>
      <c r="N201" s="12"/>
      <c r="O201" s="11"/>
      <c r="R201" s="13"/>
      <c r="S201" s="13"/>
      <c r="T201" s="13"/>
      <c r="U201" s="14"/>
      <c r="V201" s="20"/>
      <c r="W201" s="20"/>
      <c r="X201" s="20"/>
      <c r="Y201" s="25"/>
      <c r="Z201" s="25"/>
      <c r="AF201" s="20"/>
    </row>
    <row r="202" spans="1:32" ht="17">
      <c r="A202" s="27"/>
      <c r="B202" s="10"/>
      <c r="D202" s="23"/>
      <c r="E202" s="23"/>
      <c r="F202" s="19"/>
      <c r="L202" s="17"/>
      <c r="M202" s="16"/>
      <c r="N202" s="12"/>
      <c r="O202" s="11"/>
      <c r="R202" s="13"/>
      <c r="S202" s="13"/>
      <c r="T202" s="13"/>
      <c r="U202" s="14"/>
      <c r="V202" s="20"/>
      <c r="W202" s="20"/>
      <c r="X202" s="20"/>
      <c r="Y202" s="25"/>
      <c r="AF202" s="20"/>
    </row>
    <row r="203" spans="1:32" ht="17">
      <c r="A203" s="27"/>
      <c r="B203" s="10"/>
      <c r="D203" s="23"/>
      <c r="E203" s="23"/>
      <c r="F203" s="19"/>
      <c r="L203" s="17"/>
      <c r="M203" s="16"/>
      <c r="N203" s="12"/>
      <c r="O203" s="11"/>
      <c r="R203" s="13"/>
      <c r="S203" s="13"/>
      <c r="T203" s="13"/>
      <c r="U203" s="14"/>
      <c r="V203" s="20"/>
      <c r="W203" s="20"/>
      <c r="X203" s="20"/>
      <c r="Y203" s="25"/>
      <c r="AF203" s="20"/>
    </row>
    <row r="204" spans="1:32" ht="17">
      <c r="A204" s="27"/>
      <c r="B204" s="10"/>
      <c r="D204" s="23"/>
      <c r="E204" s="23"/>
      <c r="F204" s="19"/>
      <c r="L204" s="17"/>
      <c r="M204" s="16"/>
      <c r="N204" s="12"/>
      <c r="O204" s="11"/>
      <c r="R204" s="13"/>
      <c r="S204" s="13"/>
      <c r="T204" s="13"/>
      <c r="U204" s="14"/>
      <c r="V204" s="20"/>
      <c r="W204" s="20"/>
      <c r="X204" s="20"/>
      <c r="Y204" s="25"/>
      <c r="AF204" s="20"/>
    </row>
    <row r="205" spans="1:32" ht="17">
      <c r="A205" s="27"/>
      <c r="B205" s="10"/>
      <c r="D205" s="23"/>
      <c r="E205" s="23"/>
      <c r="F205" s="19"/>
      <c r="L205" s="17"/>
      <c r="M205" s="16"/>
      <c r="N205" s="12"/>
      <c r="O205" s="11"/>
      <c r="R205" s="13"/>
      <c r="S205" s="13"/>
      <c r="T205" s="13"/>
      <c r="U205" s="14"/>
      <c r="V205" s="20"/>
      <c r="W205" s="20"/>
      <c r="X205" s="20"/>
      <c r="Y205" s="25"/>
      <c r="AF205" s="20"/>
    </row>
    <row r="206" spans="1:32" ht="17">
      <c r="A206" s="27"/>
      <c r="B206" s="10"/>
      <c r="D206" s="23"/>
      <c r="E206" s="23"/>
      <c r="F206" s="19"/>
      <c r="L206" s="17"/>
      <c r="M206" s="16"/>
      <c r="N206" s="12"/>
      <c r="O206" s="11"/>
      <c r="R206" s="13"/>
      <c r="S206" s="13"/>
      <c r="T206" s="13"/>
      <c r="U206" s="14"/>
      <c r="V206" s="20"/>
      <c r="W206" s="20"/>
      <c r="X206" s="20"/>
      <c r="Y206" s="25"/>
      <c r="AF206" s="20"/>
    </row>
    <row r="207" spans="1:32" ht="17">
      <c r="A207" s="27"/>
      <c r="B207" s="10"/>
      <c r="D207" s="23"/>
      <c r="E207" s="23"/>
      <c r="F207" s="19"/>
      <c r="L207" s="17"/>
      <c r="M207" s="16"/>
      <c r="N207" s="12"/>
      <c r="O207" s="11"/>
      <c r="R207" s="13"/>
      <c r="S207" s="13"/>
      <c r="T207" s="13"/>
      <c r="U207" s="14"/>
      <c r="V207" s="20"/>
      <c r="W207" s="20"/>
      <c r="X207" s="20"/>
      <c r="Y207" s="25"/>
      <c r="AF207" s="20"/>
    </row>
    <row r="208" spans="1:32" ht="17">
      <c r="A208" s="27"/>
      <c r="B208" s="10"/>
      <c r="D208" s="23"/>
      <c r="E208" s="23"/>
      <c r="F208" s="19"/>
      <c r="L208" s="17"/>
      <c r="M208" s="16"/>
      <c r="N208" s="12"/>
      <c r="O208" s="11"/>
      <c r="R208" s="13"/>
      <c r="S208" s="13"/>
      <c r="T208" s="13"/>
      <c r="U208" s="14"/>
      <c r="V208" s="20"/>
      <c r="W208" s="20"/>
      <c r="X208" s="20"/>
      <c r="Y208" s="25"/>
      <c r="AF208" s="20"/>
    </row>
    <row r="209" spans="1:32" ht="17">
      <c r="A209" s="23"/>
      <c r="B209" s="10"/>
      <c r="D209" s="23"/>
      <c r="E209" s="23"/>
      <c r="F209" s="19"/>
      <c r="L209" s="17"/>
      <c r="M209" s="16"/>
      <c r="N209" s="12"/>
      <c r="O209" s="11"/>
      <c r="R209" s="13"/>
      <c r="S209" s="13"/>
      <c r="T209" s="13"/>
      <c r="U209" s="14"/>
      <c r="V209" s="20"/>
      <c r="W209" s="20"/>
      <c r="X209" s="20"/>
      <c r="Y209" s="25"/>
      <c r="AF209" s="20"/>
    </row>
    <row r="210" spans="1:32" ht="17">
      <c r="A210" s="23"/>
      <c r="B210" s="10"/>
      <c r="D210" s="23"/>
      <c r="E210" s="23"/>
      <c r="F210" s="19"/>
      <c r="L210" s="17"/>
      <c r="M210" s="16"/>
      <c r="N210" s="12"/>
      <c r="O210" s="11"/>
      <c r="R210" s="13"/>
      <c r="S210" s="13"/>
      <c r="T210" s="13"/>
      <c r="U210" s="14"/>
      <c r="V210" s="20"/>
      <c r="W210" s="20"/>
      <c r="X210" s="20"/>
      <c r="Y210" s="25"/>
      <c r="AF210" s="20"/>
    </row>
    <row r="211" spans="1:32" ht="17">
      <c r="A211" s="23"/>
      <c r="B211" s="10"/>
      <c r="D211" s="23"/>
      <c r="E211" s="23"/>
      <c r="F211" s="19"/>
      <c r="L211" s="17"/>
      <c r="M211" s="16"/>
      <c r="N211" s="12"/>
      <c r="O211" s="11"/>
      <c r="R211" s="13"/>
      <c r="S211" s="13"/>
      <c r="T211" s="13"/>
      <c r="U211" s="14"/>
      <c r="V211" s="20"/>
      <c r="W211" s="20"/>
      <c r="X211" s="20"/>
      <c r="Y211" s="25"/>
      <c r="AF211" s="20"/>
    </row>
    <row r="212" spans="1:32" ht="17">
      <c r="A212" s="23"/>
      <c r="B212" s="10"/>
      <c r="D212" s="23"/>
      <c r="E212" s="23"/>
      <c r="F212" s="19"/>
      <c r="L212" s="17"/>
      <c r="M212" s="16"/>
      <c r="N212" s="12"/>
      <c r="O212" s="11"/>
      <c r="R212" s="13"/>
      <c r="S212" s="13"/>
      <c r="T212" s="13"/>
      <c r="U212" s="14"/>
      <c r="V212" s="20"/>
      <c r="W212" s="20"/>
      <c r="X212" s="20"/>
      <c r="Y212" s="25"/>
      <c r="AF212" s="20"/>
    </row>
    <row r="213" spans="1:32" ht="17">
      <c r="A213" s="23"/>
      <c r="B213" s="10"/>
      <c r="D213" s="23"/>
      <c r="E213" s="23"/>
      <c r="F213" s="19"/>
      <c r="L213" s="17"/>
      <c r="M213" s="16"/>
      <c r="N213" s="12"/>
      <c r="O213" s="11"/>
      <c r="R213" s="13"/>
      <c r="S213" s="13"/>
      <c r="T213" s="13"/>
      <c r="U213" s="14"/>
      <c r="V213" s="20"/>
      <c r="W213" s="20"/>
      <c r="X213" s="20"/>
      <c r="Y213" s="25"/>
      <c r="AF213" s="20"/>
    </row>
    <row r="214" spans="1:32">
      <c r="A214" s="24"/>
      <c r="B214" s="10"/>
      <c r="D214" s="24"/>
      <c r="E214" s="24"/>
      <c r="F214" s="19"/>
      <c r="L214" s="17"/>
      <c r="M214" s="16"/>
      <c r="N214" s="12"/>
      <c r="O214" s="11"/>
      <c r="R214" s="13"/>
      <c r="S214" s="13"/>
      <c r="T214" s="13"/>
      <c r="U214" s="14"/>
      <c r="V214" s="20"/>
      <c r="W214" s="20"/>
      <c r="X214" s="20"/>
      <c r="Y214" s="25"/>
      <c r="AF214" s="20"/>
    </row>
    <row r="215" spans="1:32">
      <c r="A215" s="24"/>
      <c r="B215" s="10"/>
      <c r="D215" s="24"/>
      <c r="E215" s="24"/>
      <c r="F215" s="19"/>
      <c r="L215" s="17"/>
      <c r="M215" s="16"/>
      <c r="N215" s="12"/>
      <c r="O215" s="11"/>
      <c r="R215" s="13"/>
      <c r="S215" s="13"/>
      <c r="T215" s="13"/>
      <c r="U215" s="14"/>
      <c r="V215" s="20"/>
      <c r="W215" s="20"/>
      <c r="X215" s="20"/>
      <c r="Y215" s="25"/>
      <c r="AF215" s="20"/>
    </row>
    <row r="216" spans="1:32">
      <c r="A216" s="24"/>
      <c r="B216" s="10"/>
      <c r="D216" s="24"/>
      <c r="E216" s="24"/>
      <c r="F216" s="19"/>
      <c r="L216" s="17"/>
      <c r="M216" s="16"/>
      <c r="N216" s="12"/>
      <c r="O216" s="11"/>
      <c r="R216" s="13"/>
      <c r="S216" s="13"/>
      <c r="T216" s="13"/>
      <c r="U216" s="14"/>
      <c r="V216" s="20"/>
      <c r="W216" s="20"/>
      <c r="X216" s="20"/>
      <c r="Y216" s="25"/>
      <c r="AF216" s="20"/>
    </row>
    <row r="217" spans="1:32">
      <c r="A217" s="24"/>
      <c r="B217" s="10"/>
      <c r="D217" s="24"/>
      <c r="E217" s="24"/>
      <c r="F217" s="19"/>
      <c r="L217" s="17"/>
      <c r="M217" s="16"/>
      <c r="N217" s="12"/>
      <c r="O217" s="11"/>
      <c r="R217" s="13"/>
      <c r="S217" s="13"/>
      <c r="T217" s="13"/>
      <c r="U217" s="14"/>
      <c r="V217" s="20"/>
      <c r="W217" s="20"/>
      <c r="X217" s="20"/>
      <c r="Y217" s="25"/>
      <c r="AF217" s="20"/>
    </row>
    <row r="218" spans="1:32">
      <c r="A218" s="24"/>
      <c r="B218" s="10"/>
      <c r="D218" s="24"/>
      <c r="E218" s="24"/>
      <c r="F218" s="19"/>
      <c r="L218" s="17"/>
      <c r="M218" s="16"/>
      <c r="N218" s="12"/>
      <c r="O218" s="11"/>
      <c r="R218" s="13"/>
      <c r="S218" s="13"/>
      <c r="T218" s="13"/>
      <c r="U218" s="14"/>
      <c r="V218" s="20"/>
      <c r="W218" s="20"/>
      <c r="X218" s="20"/>
      <c r="Y218" s="25"/>
      <c r="AF218" s="4"/>
    </row>
    <row r="219" spans="1:32">
      <c r="A219" s="24"/>
      <c r="B219" s="10"/>
      <c r="D219" s="24"/>
      <c r="E219" s="24"/>
      <c r="F219" s="19"/>
      <c r="L219" s="17"/>
      <c r="M219" s="16"/>
      <c r="N219" s="12"/>
      <c r="O219" s="11"/>
      <c r="R219" s="13"/>
      <c r="S219" s="13"/>
      <c r="T219" s="13"/>
      <c r="U219" s="14"/>
      <c r="V219" s="20"/>
      <c r="W219" s="20"/>
      <c r="X219" s="20"/>
      <c r="Y219" s="25"/>
      <c r="AF219" s="4"/>
    </row>
    <row r="220" spans="1:32">
      <c r="A220" s="24"/>
      <c r="B220" s="10"/>
      <c r="D220" s="24"/>
      <c r="E220" s="24"/>
      <c r="F220" s="19"/>
      <c r="L220" s="17"/>
      <c r="M220" s="16"/>
      <c r="N220" s="12"/>
      <c r="O220" s="11"/>
      <c r="R220" s="13"/>
      <c r="S220" s="13"/>
      <c r="T220" s="13"/>
      <c r="U220" s="14"/>
      <c r="V220" s="20"/>
      <c r="W220" s="20"/>
      <c r="X220" s="20"/>
      <c r="Y220" s="25"/>
      <c r="AF220" s="4"/>
    </row>
    <row r="221" spans="1:32">
      <c r="A221" s="24"/>
      <c r="B221" s="10"/>
      <c r="D221" s="24"/>
      <c r="E221" s="24"/>
      <c r="F221" s="19"/>
      <c r="L221" s="17"/>
      <c r="M221" s="16"/>
      <c r="N221" s="12"/>
      <c r="O221" s="11"/>
      <c r="R221" s="13"/>
      <c r="S221" s="13"/>
      <c r="T221" s="13"/>
      <c r="U221" s="14"/>
      <c r="V221" s="20"/>
      <c r="W221" s="20"/>
      <c r="X221" s="20"/>
      <c r="Y221" s="25"/>
      <c r="AF221" s="4"/>
    </row>
    <row r="222" spans="1:32">
      <c r="A222" s="24"/>
      <c r="B222" s="10"/>
      <c r="D222" s="24"/>
      <c r="E222" s="24"/>
      <c r="F222" s="19"/>
      <c r="L222" s="17"/>
      <c r="M222" s="16"/>
      <c r="N222" s="12"/>
      <c r="O222" s="11"/>
      <c r="R222" s="13"/>
      <c r="S222" s="13"/>
      <c r="T222" s="13"/>
      <c r="U222" s="14"/>
      <c r="V222" s="20"/>
      <c r="W222" s="20"/>
      <c r="X222" s="20"/>
      <c r="Y222" s="25"/>
      <c r="AF222" s="4"/>
    </row>
    <row r="223" spans="1:32">
      <c r="A223" s="24"/>
      <c r="B223" s="10"/>
      <c r="D223" s="24"/>
      <c r="E223" s="24"/>
      <c r="F223" s="19"/>
      <c r="L223" s="17"/>
      <c r="M223" s="16"/>
      <c r="N223" s="12"/>
      <c r="O223" s="11"/>
      <c r="R223" s="13"/>
      <c r="S223" s="13"/>
      <c r="T223" s="13"/>
      <c r="U223" s="14"/>
      <c r="V223" s="20"/>
      <c r="W223" s="20"/>
      <c r="X223" s="20"/>
      <c r="Y223" s="25"/>
      <c r="AF223" s="4"/>
    </row>
    <row r="224" spans="1:32">
      <c r="A224" s="24"/>
      <c r="B224" s="19"/>
      <c r="C224" s="24"/>
      <c r="D224" s="19"/>
      <c r="E224" s="24"/>
      <c r="F224" s="19"/>
      <c r="G224" s="24"/>
      <c r="H224" s="19"/>
      <c r="L224" s="17"/>
      <c r="M224" s="16"/>
      <c r="N224" s="12"/>
      <c r="O224" s="11"/>
      <c r="R224" s="13"/>
      <c r="S224" s="13"/>
      <c r="T224" s="13"/>
      <c r="U224" s="14"/>
      <c r="V224" s="20"/>
      <c r="W224" s="20"/>
      <c r="X224" s="20"/>
      <c r="Y224" s="25"/>
      <c r="AF224" s="4"/>
    </row>
    <row r="225" spans="1:32">
      <c r="A225" s="24"/>
      <c r="B225" s="19"/>
      <c r="C225" s="24"/>
      <c r="D225" s="19"/>
      <c r="E225" s="24"/>
      <c r="F225" s="19"/>
      <c r="G225" s="24"/>
      <c r="H225" s="19"/>
      <c r="L225" s="17"/>
      <c r="M225" s="16"/>
      <c r="N225" s="12"/>
      <c r="O225" s="11"/>
      <c r="R225" s="13"/>
      <c r="S225" s="13"/>
      <c r="T225" s="13"/>
      <c r="U225" s="14"/>
      <c r="V225" s="20"/>
      <c r="W225" s="20"/>
      <c r="X225" s="20"/>
      <c r="Y225" s="25"/>
      <c r="AF225" s="4"/>
    </row>
    <row r="226" spans="1:32">
      <c r="A226" s="24"/>
      <c r="B226" s="19"/>
      <c r="C226" s="24"/>
      <c r="D226" s="19"/>
      <c r="E226" s="24"/>
      <c r="F226" s="19"/>
      <c r="G226" s="24"/>
      <c r="H226" s="19"/>
      <c r="L226" s="17"/>
      <c r="M226" s="16"/>
      <c r="N226" s="12"/>
      <c r="O226" s="11"/>
      <c r="R226" s="13"/>
      <c r="S226" s="13"/>
      <c r="T226" s="13"/>
      <c r="U226" s="14"/>
      <c r="V226" s="20"/>
      <c r="W226" s="20"/>
      <c r="X226" s="20"/>
      <c r="Y226" s="25"/>
      <c r="AF226" s="4"/>
    </row>
    <row r="227" spans="1:32">
      <c r="A227" s="24"/>
      <c r="B227" s="19"/>
      <c r="C227" s="24"/>
      <c r="D227" s="19"/>
      <c r="E227" s="24"/>
      <c r="F227" s="19"/>
      <c r="G227" s="24"/>
      <c r="H227" s="19"/>
      <c r="L227" s="17"/>
      <c r="M227" s="16"/>
      <c r="N227" s="12"/>
      <c r="O227" s="11"/>
      <c r="R227" s="13"/>
      <c r="S227" s="13"/>
      <c r="T227" s="13"/>
      <c r="U227" s="14"/>
      <c r="V227" s="20"/>
      <c r="W227" s="20"/>
      <c r="X227" s="20"/>
      <c r="Y227" s="25"/>
      <c r="AF227" s="4"/>
    </row>
    <row r="228" spans="1:32">
      <c r="A228" s="24"/>
      <c r="B228" s="19"/>
      <c r="C228" s="24"/>
      <c r="D228" s="19"/>
      <c r="E228" s="24"/>
      <c r="F228" s="19"/>
      <c r="G228" s="24"/>
      <c r="H228" s="19"/>
      <c r="L228" s="17"/>
      <c r="M228" s="16"/>
      <c r="N228" s="12"/>
      <c r="O228" s="11"/>
      <c r="R228" s="13"/>
      <c r="S228" s="13"/>
      <c r="T228" s="13"/>
      <c r="U228" s="14"/>
      <c r="V228" s="20"/>
      <c r="W228" s="20"/>
      <c r="X228" s="20"/>
      <c r="Y228" s="25"/>
      <c r="AF228" s="4"/>
    </row>
    <row r="229" spans="1:32">
      <c r="A229" s="24"/>
      <c r="B229" s="19"/>
      <c r="C229" s="24"/>
      <c r="D229" s="19"/>
      <c r="E229" s="24"/>
      <c r="F229" s="19"/>
      <c r="G229" s="24"/>
      <c r="H229" s="19"/>
      <c r="L229" s="17"/>
      <c r="M229" s="16"/>
      <c r="N229" s="12"/>
      <c r="O229" s="11"/>
      <c r="R229" s="13"/>
      <c r="S229" s="13"/>
      <c r="T229" s="13"/>
      <c r="U229" s="14"/>
      <c r="V229" s="20"/>
      <c r="W229" s="20"/>
      <c r="X229" s="20"/>
      <c r="Y229" s="25"/>
      <c r="AF229" s="4"/>
    </row>
    <row r="230" spans="1:32">
      <c r="A230" s="24"/>
      <c r="B230" s="19"/>
      <c r="H230" s="18"/>
      <c r="L230" s="17"/>
      <c r="M230" s="16"/>
      <c r="N230" s="12"/>
      <c r="O230" s="11"/>
      <c r="R230" s="13"/>
      <c r="S230" s="13"/>
      <c r="T230" s="13"/>
      <c r="U230" s="14"/>
      <c r="V230" s="20"/>
      <c r="W230" s="20"/>
      <c r="X230" s="20"/>
      <c r="Y230" s="25"/>
      <c r="AF230" s="4"/>
    </row>
    <row r="231" spans="1:32">
      <c r="A231" s="24"/>
      <c r="B231" s="19"/>
      <c r="L231" s="17"/>
      <c r="M231" s="16"/>
      <c r="N231" s="12"/>
      <c r="O231" s="11"/>
      <c r="R231" s="13"/>
      <c r="S231" s="13"/>
      <c r="T231" s="13"/>
      <c r="U231" s="14"/>
      <c r="V231" s="20"/>
      <c r="W231" s="20"/>
      <c r="X231" s="20"/>
      <c r="Y231" s="25"/>
      <c r="AF231" s="4"/>
    </row>
    <row r="232" spans="1:32">
      <c r="A232" s="24"/>
      <c r="B232" s="19"/>
      <c r="L232" s="17"/>
      <c r="M232" s="16"/>
      <c r="N232" s="12"/>
      <c r="O232" s="11"/>
      <c r="R232" s="13"/>
      <c r="S232" s="13"/>
      <c r="T232" s="13"/>
      <c r="U232" s="14"/>
      <c r="V232" s="20"/>
      <c r="W232" s="20"/>
      <c r="X232" s="20"/>
      <c r="Y232" s="25"/>
      <c r="AF232" s="4"/>
    </row>
    <row r="233" spans="1:32">
      <c r="A233" s="24"/>
      <c r="B233" s="19"/>
      <c r="L233" s="17"/>
      <c r="M233" s="16"/>
      <c r="N233" s="12"/>
      <c r="O233" s="11"/>
      <c r="R233" s="13"/>
      <c r="S233" s="13"/>
      <c r="T233" s="13"/>
      <c r="U233" s="14"/>
      <c r="V233" s="20"/>
      <c r="W233" s="20"/>
      <c r="X233" s="20"/>
      <c r="Y233" s="25"/>
      <c r="AF233" s="4"/>
    </row>
    <row r="234" spans="1:32">
      <c r="A234" s="24"/>
      <c r="B234" s="19"/>
      <c r="L234" s="17"/>
      <c r="M234" s="16"/>
      <c r="N234" s="12"/>
      <c r="O234" s="11"/>
      <c r="R234" s="13"/>
      <c r="S234" s="13"/>
      <c r="T234" s="13"/>
      <c r="U234" s="14"/>
      <c r="V234" s="20"/>
      <c r="W234" s="20"/>
      <c r="X234" s="20"/>
      <c r="Y234" s="25"/>
      <c r="AF234" s="4"/>
    </row>
    <row r="235" spans="1:32">
      <c r="A235" s="24"/>
      <c r="B235" s="19"/>
      <c r="L235" s="17"/>
      <c r="M235" s="16"/>
      <c r="N235" s="12"/>
      <c r="O235" s="11"/>
      <c r="R235" s="13"/>
      <c r="S235" s="13"/>
      <c r="T235" s="13"/>
      <c r="U235" s="14"/>
      <c r="V235" s="20"/>
      <c r="W235" s="20"/>
      <c r="X235" s="20"/>
      <c r="Y235" s="25"/>
      <c r="AF23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4E51-CEC6-C34B-B438-8FB485E09947}">
  <dimension ref="A1"/>
  <sheetViews>
    <sheetView workbookViewId="0">
      <selection activeCell="I41" sqref="I41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Locaties_einddiepte_LAT_3</vt:lpstr>
      <vt:lpstr>cumm waarden</vt:lpstr>
      <vt:lpstr>draaioutput</vt:lpstr>
      <vt:lpstr>draai</vt:lpstr>
      <vt:lpstr>grafiek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kleine</dc:creator>
  <cp:lastModifiedBy>marco de kleine</cp:lastModifiedBy>
  <dcterms:created xsi:type="dcterms:W3CDTF">2022-10-05T12:04:22Z</dcterms:created>
  <dcterms:modified xsi:type="dcterms:W3CDTF">2026-08-03T16:34:31Z</dcterms:modified>
</cp:coreProperties>
</file>